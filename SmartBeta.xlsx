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5885A52B-C365-40A6-B2FA-1329DACC0F4A}" xr6:coauthVersionLast="47" xr6:coauthVersionMax="47" xr10:uidLastSave="{00000000-0000-0000-0000-000000000000}"/>
  <bookViews>
    <workbookView xWindow="15240" yWindow="3860" windowWidth="17350" windowHeight="11460" activeTab="1" xr2:uid="{00000000-000D-0000-FFFF-FFFF00000000}"/>
  </bookViews>
  <sheets>
    <sheet name="Main" sheetId="1" r:id="rId1"/>
    <sheet name="portfolio" sheetId="2" r:id="rId2"/>
    <sheet name="log" sheetId="4" r:id="rId3"/>
    <sheet name="no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7" i="2" s="1"/>
  <c r="D17" i="2"/>
  <c r="C10" i="2" s="1"/>
  <c r="D10" i="1"/>
  <c r="G8" i="1"/>
  <c r="G7" i="1"/>
  <c r="G6" i="1"/>
  <c r="G5" i="1"/>
  <c r="G4" i="1"/>
  <c r="G3" i="1"/>
  <c r="G2" i="1"/>
  <c r="C11" i="2" l="1"/>
  <c r="D11" i="2" s="1"/>
  <c r="D10" i="2"/>
  <c r="D4" i="2"/>
  <c r="D9" i="2"/>
  <c r="D5" i="2"/>
  <c r="D8" i="2"/>
  <c r="D3" i="2"/>
  <c r="D6" i="2"/>
</calcChain>
</file>

<file path=xl/sharedStrings.xml><?xml version="1.0" encoding="utf-8"?>
<sst xmlns="http://schemas.openxmlformats.org/spreadsheetml/2006/main" count="66" uniqueCount="52">
  <si>
    <t>Universe</t>
  </si>
  <si>
    <t>SGLN</t>
  </si>
  <si>
    <t>gold exposure</t>
  </si>
  <si>
    <t>IBGL</t>
  </si>
  <si>
    <t>treasury 20yr</t>
  </si>
  <si>
    <t>CMOD</t>
  </si>
  <si>
    <t>commodities</t>
  </si>
  <si>
    <t>TIPS</t>
  </si>
  <si>
    <t>treasury TIP exposure</t>
  </si>
  <si>
    <t>VUSA</t>
  </si>
  <si>
    <t>sp500 exposure</t>
  </si>
  <si>
    <t>VWRL</t>
  </si>
  <si>
    <t>all world exposure</t>
  </si>
  <si>
    <t xml:space="preserve">IBZL </t>
  </si>
  <si>
    <t>brazil exposure</t>
  </si>
  <si>
    <t>exposure type</t>
  </si>
  <si>
    <t>Amount invested p month</t>
  </si>
  <si>
    <t>policies</t>
  </si>
  <si>
    <t>etc</t>
  </si>
  <si>
    <t>rebalance dates</t>
  </si>
  <si>
    <t>quaterly</t>
  </si>
  <si>
    <t>monthly</t>
  </si>
  <si>
    <t>% of allocation  on Beta(target)</t>
  </si>
  <si>
    <t>total deposit on risky assets(month)</t>
  </si>
  <si>
    <t>total portfolio allocation:</t>
  </si>
  <si>
    <t>beta</t>
  </si>
  <si>
    <t>cash</t>
  </si>
  <si>
    <t>total (invested per month)</t>
  </si>
  <si>
    <t>target</t>
  </si>
  <si>
    <t>aggressive</t>
  </si>
  <si>
    <t>defensive</t>
  </si>
  <si>
    <t>IBZL</t>
  </si>
  <si>
    <t>IGLH</t>
  </si>
  <si>
    <t>Instrument</t>
  </si>
  <si>
    <t>Shares</t>
  </si>
  <si>
    <t>Amount</t>
  </si>
  <si>
    <t>Currency</t>
  </si>
  <si>
    <t>USD</t>
  </si>
  <si>
    <t>EUR</t>
  </si>
  <si>
    <t>GBP</t>
  </si>
  <si>
    <t>log</t>
  </si>
  <si>
    <t>portfolio</t>
  </si>
  <si>
    <t>Allocation</t>
  </si>
  <si>
    <t>Total Portolio value</t>
  </si>
  <si>
    <t>Allocation %</t>
  </si>
  <si>
    <t>Cash</t>
  </si>
  <si>
    <t>Additions and withdrawals</t>
  </si>
  <si>
    <t>Total deposited</t>
  </si>
  <si>
    <t>Date</t>
  </si>
  <si>
    <t>Total Invested</t>
  </si>
  <si>
    <t>Return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</si>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</sst>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2" fillId="0" borderId="0" xfId="0" applyFont="1"/>
    <xf numFmtId="10" fontId="0" fillId="0" borderId="0" xfId="0" applyNumberFormat="1"/>
    <xf numFmtId="14" fontId="0" fillId="0" borderId="0" xfId="0" applyNumberFormat="1"/>
    <xf numFmtId="9" fontId="0" fillId="0" borderId="0" xfId="1" applyFont="1"/>
    <xf numFmtId="0" fontId="3" fillId="0" borderId="0" xfId="0" applyFont="1"/>
    <xf numFmtId="9" fontId="2" fillId="0" borderId="0" xfId="1" applyFont="1"/>
    <xf numFmtId="0" fontId="2" fillId="0" borderId="1" xfId="0" applyFont="1" applyBorder="1"/>
    <xf numFmtId="9" fontId="2" fillId="0" borderId="1" xfId="1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A3" sqref="A3"/>
    </sheetView>
  </sheetViews>
  <sheetFormatPr defaultRowHeight="14.5" x14ac:dyDescent="0.35"/>
  <cols>
    <col min="3" max="3" width="31" bestFit="1" customWidth="1"/>
    <col min="4" max="4" width="23.08984375" bestFit="1" customWidth="1"/>
    <col min="5" max="5" width="9.36328125" bestFit="1" customWidth="1"/>
    <col min="6" max="6" width="16.6328125" customWidth="1"/>
    <col min="7" max="7" width="11.81640625" customWidth="1"/>
  </cols>
  <sheetData>
    <row r="1" spans="1:12" x14ac:dyDescent="0.35">
      <c r="A1" t="s">
        <v>40</v>
      </c>
      <c r="D1" s="2" t="s">
        <v>16</v>
      </c>
      <c r="E1" s="2" t="s">
        <v>0</v>
      </c>
      <c r="F1" s="2" t="s">
        <v>15</v>
      </c>
      <c r="G1" s="2" t="s">
        <v>22</v>
      </c>
      <c r="L1" t="s">
        <v>19</v>
      </c>
    </row>
    <row r="2" spans="1:12" x14ac:dyDescent="0.35">
      <c r="A2" t="s">
        <v>41</v>
      </c>
      <c r="D2">
        <v>40</v>
      </c>
      <c r="E2" t="s">
        <v>1</v>
      </c>
      <c r="F2" t="s">
        <v>2</v>
      </c>
      <c r="G2" s="1">
        <f>D2/$E$10</f>
        <v>0.1</v>
      </c>
      <c r="L2" t="s">
        <v>20</v>
      </c>
    </row>
    <row r="3" spans="1:12" x14ac:dyDescent="0.35">
      <c r="A3" t="s">
        <v>17</v>
      </c>
      <c r="D3">
        <v>40</v>
      </c>
      <c r="E3" t="s">
        <v>3</v>
      </c>
      <c r="F3" t="s">
        <v>4</v>
      </c>
      <c r="G3" s="1">
        <f t="shared" ref="G3:G8" si="0">D3/$E$10</f>
        <v>0.1</v>
      </c>
      <c r="L3" t="s">
        <v>21</v>
      </c>
    </row>
    <row r="4" spans="1:12" x14ac:dyDescent="0.35">
      <c r="A4" t="s">
        <v>18</v>
      </c>
      <c r="D4">
        <v>40</v>
      </c>
      <c r="E4" t="s">
        <v>5</v>
      </c>
      <c r="F4" t="s">
        <v>6</v>
      </c>
      <c r="G4" s="1">
        <f t="shared" si="0"/>
        <v>0.1</v>
      </c>
    </row>
    <row r="5" spans="1:12" x14ac:dyDescent="0.35">
      <c r="D5">
        <v>40</v>
      </c>
      <c r="E5" t="s">
        <v>7</v>
      </c>
      <c r="F5" t="s">
        <v>8</v>
      </c>
      <c r="G5" s="1">
        <f t="shared" si="0"/>
        <v>0.1</v>
      </c>
    </row>
    <row r="6" spans="1:12" x14ac:dyDescent="0.35">
      <c r="D6">
        <v>40</v>
      </c>
      <c r="E6" t="s">
        <v>9</v>
      </c>
      <c r="F6" t="s">
        <v>10</v>
      </c>
      <c r="G6" s="1">
        <f t="shared" si="0"/>
        <v>0.1</v>
      </c>
    </row>
    <row r="7" spans="1:12" x14ac:dyDescent="0.35">
      <c r="D7">
        <v>160</v>
      </c>
      <c r="E7" t="s">
        <v>11</v>
      </c>
      <c r="F7" t="s">
        <v>12</v>
      </c>
      <c r="G7" s="1">
        <f t="shared" si="0"/>
        <v>0.4</v>
      </c>
    </row>
    <row r="8" spans="1:12" x14ac:dyDescent="0.35">
      <c r="D8">
        <v>40</v>
      </c>
      <c r="E8" t="s">
        <v>13</v>
      </c>
      <c r="F8" t="s">
        <v>14</v>
      </c>
      <c r="G8" s="1">
        <f t="shared" si="0"/>
        <v>0.1</v>
      </c>
    </row>
    <row r="9" spans="1:12" x14ac:dyDescent="0.35">
      <c r="G9" s="1"/>
    </row>
    <row r="10" spans="1:12" x14ac:dyDescent="0.35">
      <c r="C10" t="s">
        <v>23</v>
      </c>
      <c r="D10">
        <f>SUM(D2:D9)</f>
        <v>400</v>
      </c>
      <c r="E10">
        <v>400</v>
      </c>
    </row>
    <row r="12" spans="1:12" x14ac:dyDescent="0.35">
      <c r="C12" t="s">
        <v>24</v>
      </c>
    </row>
    <row r="13" spans="1:12" x14ac:dyDescent="0.35">
      <c r="D13" s="2" t="s">
        <v>28</v>
      </c>
      <c r="E13" s="2" t="s">
        <v>29</v>
      </c>
      <c r="F13" s="2" t="s">
        <v>30</v>
      </c>
    </row>
    <row r="14" spans="1:12" x14ac:dyDescent="0.35">
      <c r="C14" s="2" t="s">
        <v>25</v>
      </c>
      <c r="D14">
        <v>400</v>
      </c>
      <c r="E14">
        <v>450</v>
      </c>
      <c r="F14">
        <v>100</v>
      </c>
      <c r="G14" s="3"/>
    </row>
    <row r="15" spans="1:12" x14ac:dyDescent="0.35">
      <c r="C15" s="2" t="s">
        <v>26</v>
      </c>
      <c r="D15">
        <v>50</v>
      </c>
      <c r="E15">
        <v>0</v>
      </c>
      <c r="F15">
        <v>350</v>
      </c>
      <c r="G15" s="3"/>
    </row>
    <row r="16" spans="1:12" x14ac:dyDescent="0.35">
      <c r="C16" t="s">
        <v>27</v>
      </c>
      <c r="D16">
        <v>450</v>
      </c>
      <c r="E16">
        <v>450</v>
      </c>
      <c r="F16">
        <v>450</v>
      </c>
      <c r="G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60F-0CC3-4ADC-94EB-2DD88F3AA0A6}">
  <dimension ref="B1:F18"/>
  <sheetViews>
    <sheetView tabSelected="1" workbookViewId="0">
      <selection activeCell="F11" sqref="F11"/>
    </sheetView>
  </sheetViews>
  <sheetFormatPr defaultRowHeight="14.5" x14ac:dyDescent="0.35"/>
  <cols>
    <col min="1" max="1" width="5.54296875" customWidth="1"/>
    <col min="2" max="3" width="23.26953125" bestFit="1" customWidth="1"/>
    <col min="4" max="4" width="13.81640625" bestFit="1" customWidth="1"/>
    <col min="5" max="5" width="11" bestFit="1" customWidth="1"/>
  </cols>
  <sheetData>
    <row r="1" spans="2:6" x14ac:dyDescent="0.35">
      <c r="C1" s="4"/>
    </row>
    <row r="2" spans="2:6" x14ac:dyDescent="0.35">
      <c r="B2" t="s">
        <v>33</v>
      </c>
      <c r="C2" t="s">
        <v>42</v>
      </c>
      <c r="D2" t="s">
        <v>44</v>
      </c>
      <c r="E2" t="s">
        <v>51</v>
      </c>
      <c r="F2" t="s">
        <v>50</v>
      </c>
    </row>
    <row r="3" spans="2:6" x14ac:dyDescent="0.35">
      <c r="B3" t="s">
        <v>7</v>
      </c>
      <c r="C3">
        <v>47.63</v>
      </c>
      <c r="D3" s="5">
        <f>C3/$C$9</f>
        <v>0.11918524635287642</v>
      </c>
    </row>
    <row r="4" spans="2:6" x14ac:dyDescent="0.35">
      <c r="B4" t="s">
        <v>5</v>
      </c>
      <c r="C4">
        <v>45.25</v>
      </c>
      <c r="D4" s="5">
        <f>C4/$C$9</f>
        <v>0.11322973750719416</v>
      </c>
    </row>
    <row r="5" spans="2:6" x14ac:dyDescent="0.35">
      <c r="B5" t="s">
        <v>31</v>
      </c>
      <c r="C5">
        <v>41.5</v>
      </c>
      <c r="D5" s="5">
        <f>C5/$C$9</f>
        <v>0.10384605760328304</v>
      </c>
    </row>
    <row r="6" spans="2:6" x14ac:dyDescent="0.35">
      <c r="B6" t="s">
        <v>32</v>
      </c>
      <c r="C6">
        <v>40.200000000000003</v>
      </c>
      <c r="D6" s="5">
        <f>C6/$C$9</f>
        <v>0.10059304856992719</v>
      </c>
    </row>
    <row r="7" spans="2:6" x14ac:dyDescent="0.35">
      <c r="B7" t="s">
        <v>11</v>
      </c>
      <c r="C7">
        <v>186</v>
      </c>
      <c r="D7" s="5">
        <f>C7/$C$9</f>
        <v>0.46543052323399142</v>
      </c>
    </row>
    <row r="8" spans="2:6" x14ac:dyDescent="0.35">
      <c r="B8" t="s">
        <v>9</v>
      </c>
      <c r="C8">
        <v>39.049999999999997</v>
      </c>
      <c r="D8" s="5">
        <f>C8/$C$9</f>
        <v>9.7715386732727769E-2</v>
      </c>
    </row>
    <row r="9" spans="2:6" x14ac:dyDescent="0.35">
      <c r="B9" s="2" t="s">
        <v>49</v>
      </c>
      <c r="C9" s="2">
        <f>SUM(C3:C8)</f>
        <v>399.63</v>
      </c>
      <c r="D9" s="7">
        <f>C9/$C$11</f>
        <v>0.39962999999999999</v>
      </c>
    </row>
    <row r="10" spans="2:6" x14ac:dyDescent="0.35">
      <c r="B10" s="2" t="s">
        <v>45</v>
      </c>
      <c r="C10" s="2">
        <f>D17-C9</f>
        <v>600.37</v>
      </c>
      <c r="D10" s="7">
        <f>C10/$C$11</f>
        <v>0.60036999999999996</v>
      </c>
    </row>
    <row r="11" spans="2:6" ht="15" thickBot="1" x14ac:dyDescent="0.4">
      <c r="B11" s="8" t="s">
        <v>43</v>
      </c>
      <c r="C11" s="8">
        <f>C9+C10</f>
        <v>1000</v>
      </c>
      <c r="D11" s="9">
        <f>C11/$C$11</f>
        <v>1</v>
      </c>
      <c r="E11" s="10"/>
      <c r="F11" s="10"/>
    </row>
    <row r="12" spans="2:6" ht="15" thickTop="1" x14ac:dyDescent="0.35"/>
    <row r="16" spans="2:6" x14ac:dyDescent="0.35">
      <c r="B16" t="s">
        <v>48</v>
      </c>
      <c r="C16" t="s">
        <v>46</v>
      </c>
      <c r="D16" s="6" t="s">
        <v>47</v>
      </c>
    </row>
    <row r="17" spans="2:4" x14ac:dyDescent="0.35">
      <c r="B17" s="6"/>
      <c r="D17">
        <f>SUM(C18:C1048576)</f>
        <v>1000</v>
      </c>
    </row>
    <row r="18" spans="2:4" x14ac:dyDescent="0.35">
      <c r="B18" s="4">
        <v>45693</v>
      </c>
      <c r="C18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9789-7E20-4712-9618-2165CF80C138}">
  <dimension ref="A2:E8"/>
  <sheetViews>
    <sheetView workbookViewId="0">
      <selection activeCell="D8" sqref="D3:D8"/>
    </sheetView>
  </sheetViews>
  <sheetFormatPr defaultRowHeight="14.5" x14ac:dyDescent="0.35"/>
  <sheetData>
    <row r="2" spans="1:5" x14ac:dyDescent="0.35">
      <c r="B2" t="s">
        <v>33</v>
      </c>
      <c r="C2" t="s">
        <v>34</v>
      </c>
      <c r="D2" t="s">
        <v>35</v>
      </c>
      <c r="E2" t="s">
        <v>36</v>
      </c>
    </row>
    <row r="3" spans="1:5" x14ac:dyDescent="0.35">
      <c r="A3" s="4">
        <v>45693</v>
      </c>
      <c r="B3" t="s">
        <v>7</v>
      </c>
      <c r="C3">
        <v>1.5</v>
      </c>
      <c r="D3">
        <v>47.63</v>
      </c>
      <c r="E3" t="s">
        <v>37</v>
      </c>
    </row>
    <row r="4" spans="1:5" x14ac:dyDescent="0.35">
      <c r="A4" s="4">
        <v>45693</v>
      </c>
      <c r="B4" t="s">
        <v>5</v>
      </c>
      <c r="C4">
        <v>2</v>
      </c>
      <c r="D4">
        <v>45.25</v>
      </c>
      <c r="E4" t="s">
        <v>38</v>
      </c>
    </row>
    <row r="5" spans="1:5" x14ac:dyDescent="0.35">
      <c r="A5" s="4">
        <v>45693</v>
      </c>
      <c r="B5" t="s">
        <v>31</v>
      </c>
      <c r="C5">
        <v>2</v>
      </c>
      <c r="D5">
        <v>41.5</v>
      </c>
      <c r="E5" t="s">
        <v>38</v>
      </c>
    </row>
    <row r="6" spans="1:5" x14ac:dyDescent="0.35">
      <c r="A6" s="4">
        <v>45693</v>
      </c>
      <c r="B6" t="s">
        <v>32</v>
      </c>
      <c r="C6">
        <v>8</v>
      </c>
      <c r="D6">
        <v>40.200000000000003</v>
      </c>
      <c r="E6" t="s">
        <v>39</v>
      </c>
    </row>
    <row r="7" spans="1:5" x14ac:dyDescent="0.35">
      <c r="A7" s="4">
        <v>45693</v>
      </c>
      <c r="B7" t="s">
        <v>11</v>
      </c>
      <c r="C7">
        <v>1.5</v>
      </c>
      <c r="D7">
        <v>186</v>
      </c>
      <c r="E7" t="s">
        <v>38</v>
      </c>
    </row>
    <row r="8" spans="1:5" x14ac:dyDescent="0.35">
      <c r="A8" s="4">
        <v>45693</v>
      </c>
      <c r="B8" t="s">
        <v>9</v>
      </c>
      <c r="C8">
        <v>0.4</v>
      </c>
      <c r="D8">
        <v>39.049999999999997</v>
      </c>
      <c r="E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41DE-F687-4DBF-BAE0-F7C982879F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portfolio</vt:lpstr>
      <vt:lpstr>log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2025-05-02T22:40:37Z</dcterms:modified>
</cp:coreProperties>
</file>