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7686FB29-066D-4A80-B8B6-631860E3FF1C}" xr6:coauthVersionLast="47" xr6:coauthVersionMax="47" xr10:uidLastSave="{00000000-0000-0000-0000-000000000000}"/>
  <bookViews>
    <workbookView xWindow="4420" yWindow="6660" windowWidth="17350" windowHeight="1146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P2" i="2"/>
  <c r="Q2" i="2" s="1"/>
  <c r="T2" i="2" l="1"/>
  <c r="J25" i="2" l="1"/>
  <c r="N25" i="2"/>
  <c r="M25" i="2"/>
  <c r="L25" i="2"/>
  <c r="K25" i="2"/>
  <c r="O25" i="2"/>
  <c r="Q13" i="2"/>
  <c r="R13" i="2" s="1"/>
  <c r="S13" i="2" s="1"/>
  <c r="T13" i="2" s="1"/>
  <c r="U13" i="2" s="1"/>
  <c r="V13" i="2" s="1"/>
  <c r="P13" i="2"/>
  <c r="Q12" i="2"/>
  <c r="R12" i="2" s="1"/>
  <c r="S12" i="2" s="1"/>
  <c r="T12" i="2" s="1"/>
  <c r="U12" i="2" s="1"/>
  <c r="V12" i="2" s="1"/>
  <c r="P12" i="2"/>
  <c r="Q9" i="2"/>
  <c r="R9" i="2" s="1"/>
  <c r="S9" i="2" s="1"/>
  <c r="T9" i="2" s="1"/>
  <c r="U9" i="2" s="1"/>
  <c r="V9" i="2" s="1"/>
  <c r="P9" i="2"/>
  <c r="P7" i="2"/>
  <c r="S6" i="2"/>
  <c r="P4" i="2"/>
  <c r="Q4" i="2" s="1"/>
  <c r="R4" i="2" s="1"/>
  <c r="S4" i="2" s="1"/>
  <c r="T4" i="2" s="1"/>
  <c r="U4" i="2" s="1"/>
  <c r="V4" i="2" s="1"/>
  <c r="Q3" i="2"/>
  <c r="R3" i="2" s="1"/>
  <c r="S3" i="2" s="1"/>
  <c r="T3" i="2" s="1"/>
  <c r="U3" i="2" s="1"/>
  <c r="V3" i="2" s="1"/>
  <c r="P3" i="2"/>
  <c r="Q18" i="2" l="1"/>
  <c r="R18" i="2"/>
  <c r="P18" i="2"/>
  <c r="S11" i="2"/>
  <c r="S14" i="2" s="1"/>
  <c r="N11" i="1"/>
  <c r="N21" i="2"/>
  <c r="M21" i="2"/>
  <c r="O21" i="2"/>
  <c r="O23" i="2" s="1"/>
  <c r="J21" i="2"/>
  <c r="K21" i="2"/>
  <c r="L21" i="2"/>
  <c r="O9" i="1"/>
  <c r="N9" i="1"/>
  <c r="Q6" i="2"/>
  <c r="Q11" i="2" s="1"/>
  <c r="Q14" i="2" s="1"/>
  <c r="P6" i="2"/>
  <c r="P11" i="2" s="1"/>
  <c r="P14" i="2" s="1"/>
  <c r="Q1" i="2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P1" i="2"/>
  <c r="N18" i="2"/>
  <c r="M18" i="2"/>
  <c r="L18" i="2"/>
  <c r="K18" i="2"/>
  <c r="O18" i="2"/>
  <c r="M23" i="2"/>
  <c r="L23" i="2"/>
  <c r="K23" i="2"/>
  <c r="L6" i="2"/>
  <c r="L11" i="2" s="1"/>
  <c r="L14" i="2" s="1"/>
  <c r="L16" i="2" s="1"/>
  <c r="K6" i="2"/>
  <c r="K11" i="2" s="1"/>
  <c r="J6" i="2"/>
  <c r="J11" i="2" s="1"/>
  <c r="J14" i="2" s="1"/>
  <c r="J16" i="2" s="1"/>
  <c r="N23" i="2"/>
  <c r="O6" i="2"/>
  <c r="O11" i="2" s="1"/>
  <c r="O14" i="2" s="1"/>
  <c r="O16" i="2" s="1"/>
  <c r="N6" i="2"/>
  <c r="N11" i="2" s="1"/>
  <c r="N14" i="2" s="1"/>
  <c r="N16" i="2" s="1"/>
  <c r="M6" i="2"/>
  <c r="M11" i="2" s="1"/>
  <c r="M14" i="2" s="1"/>
  <c r="M16" i="2" s="1"/>
  <c r="N6" i="1"/>
  <c r="N7" i="1" s="1"/>
  <c r="P6" i="1"/>
  <c r="P7" i="1" s="1"/>
  <c r="B5" i="1"/>
  <c r="N4" i="1"/>
  <c r="Q15" i="2" l="1"/>
  <c r="Q16" i="2" s="1"/>
  <c r="P15" i="2"/>
  <c r="P16" i="2" s="1"/>
  <c r="S15" i="2"/>
  <c r="S16" i="2" s="1"/>
  <c r="R6" i="2"/>
  <c r="R11" i="2" s="1"/>
  <c r="R14" i="2" s="1"/>
  <c r="T6" i="2"/>
  <c r="S18" i="2"/>
  <c r="O19" i="2"/>
  <c r="N19" i="2"/>
  <c r="M19" i="2"/>
  <c r="K14" i="2"/>
  <c r="K16" i="2" s="1"/>
  <c r="K19" i="2" s="1"/>
  <c r="R15" i="2" l="1"/>
  <c r="R16" i="2" s="1"/>
  <c r="U2" i="2"/>
  <c r="U6" i="2" s="1"/>
  <c r="T18" i="2"/>
  <c r="T11" i="2"/>
  <c r="T14" i="2" s="1"/>
  <c r="L19" i="2"/>
  <c r="T15" i="2" l="1"/>
  <c r="T16" i="2" s="1"/>
  <c r="V2" i="2"/>
  <c r="U18" i="2"/>
  <c r="U11" i="2"/>
  <c r="U14" i="2" s="1"/>
  <c r="U15" i="2" l="1"/>
  <c r="U16" i="2" s="1"/>
  <c r="V18" i="2"/>
  <c r="V6" i="2"/>
  <c r="V11" i="2" s="1"/>
  <c r="V14" i="2" s="1"/>
  <c r="V15" i="2" l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Z22" i="2" l="1"/>
  <c r="Z23" i="2" s="1"/>
</calcChain>
</file>

<file path=xl/sharedStrings.xml><?xml version="1.0" encoding="utf-8"?>
<sst xmlns="http://schemas.openxmlformats.org/spreadsheetml/2006/main" count="45" uniqueCount="45">
  <si>
    <t>Price</t>
  </si>
  <si>
    <t>Shares</t>
  </si>
  <si>
    <t>MC</t>
  </si>
  <si>
    <t>Cash</t>
  </si>
  <si>
    <t>Debt</t>
  </si>
  <si>
    <t>EV</t>
  </si>
  <si>
    <t>120M</t>
  </si>
  <si>
    <t>main</t>
  </si>
  <si>
    <t xml:space="preserve">Dry van </t>
  </si>
  <si>
    <t>Reefer</t>
  </si>
  <si>
    <t>Other specialized containers</t>
  </si>
  <si>
    <t>Geo trade zones (percentage of total TEU)</t>
  </si>
  <si>
    <t xml:space="preserve">Pacific </t>
  </si>
  <si>
    <t>Cross-Suez</t>
  </si>
  <si>
    <t>Atlantic-Europe</t>
  </si>
  <si>
    <t>Intra-asia</t>
  </si>
  <si>
    <t>Latin Aemrica</t>
  </si>
  <si>
    <t>without leases</t>
  </si>
  <si>
    <t>Revenue</t>
  </si>
  <si>
    <t>Operating expenses</t>
  </si>
  <si>
    <t>Depreciation</t>
  </si>
  <si>
    <t>Impairment of assets</t>
  </si>
  <si>
    <t>Gross Profit</t>
  </si>
  <si>
    <t>Other operating income</t>
  </si>
  <si>
    <t>Other operating expense</t>
  </si>
  <si>
    <t>general administrative expenses</t>
  </si>
  <si>
    <t>Share of loss of associates</t>
  </si>
  <si>
    <t>Results from operating activities</t>
  </si>
  <si>
    <t>Finance income</t>
  </si>
  <si>
    <t>Finance expense</t>
  </si>
  <si>
    <t>Profit before income taxes</t>
  </si>
  <si>
    <t>Income taxes</t>
  </si>
  <si>
    <t>Net income</t>
  </si>
  <si>
    <t>CFO</t>
  </si>
  <si>
    <t>cashflow y/y</t>
  </si>
  <si>
    <t>FCF?</t>
  </si>
  <si>
    <t>revenue y/y</t>
  </si>
  <si>
    <t>net income y/y</t>
  </si>
  <si>
    <t>how many FCF</t>
  </si>
  <si>
    <t>Terminal</t>
  </si>
  <si>
    <t>Discount</t>
  </si>
  <si>
    <t>ROIC</t>
  </si>
  <si>
    <t>NPV</t>
  </si>
  <si>
    <t>Share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</si>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</sst>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12700</xdr:colOff>
      <xdr:row>0</xdr:row>
      <xdr:rowOff>44450</xdr:rowOff>
    </xdr:from>
    <xdr:to>
      <xdr:col>15</xdr:col>
      <xdr:colOff>44450</xdr:colOff>
      <xdr:row>53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1E626C-049A-ED09-1F20-D4609ECD8A1B}"/>
            </a:ext>
          </a:extLst>
        </xdr:cNvPr>
        <xdr:cNvCxnSpPr/>
      </xdr:nvCxnSpPr>
      <xdr:spPr>
        <a:xfrm>
          <a:off x="8077200" y="44450"/>
          <a:ext cx="31750" cy="984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J11" workbookViewId="0">
      <selection activeCell="L14" sqref="L14:N25"/>
    </sheetView>
  </sheetViews>
  <sheetFormatPr defaultRowHeight="14.5" x14ac:dyDescent="0.35"/>
  <cols>
    <col min="12" max="12" width="28" bestFit="1" customWidth="1"/>
    <col min="13" max="13" width="15.81640625" bestFit="1" customWidth="1"/>
  </cols>
  <sheetData>
    <row r="1" spans="1:16" x14ac:dyDescent="0.35">
      <c r="P1" t="s">
        <v>17</v>
      </c>
    </row>
    <row r="2" spans="1:16" x14ac:dyDescent="0.35">
      <c r="A2" t="s">
        <v>8</v>
      </c>
      <c r="B2">
        <v>2003</v>
      </c>
      <c r="M2" t="s">
        <v>0</v>
      </c>
      <c r="N2">
        <v>18</v>
      </c>
    </row>
    <row r="3" spans="1:16" x14ac:dyDescent="0.35">
      <c r="A3" t="s">
        <v>9</v>
      </c>
      <c r="B3">
        <v>99</v>
      </c>
      <c r="M3" t="s">
        <v>1</v>
      </c>
      <c r="N3">
        <v>120</v>
      </c>
      <c r="P3" t="s">
        <v>6</v>
      </c>
    </row>
    <row r="4" spans="1:16" x14ac:dyDescent="0.35">
      <c r="A4" t="s">
        <v>10</v>
      </c>
      <c r="B4">
        <v>60</v>
      </c>
      <c r="M4" t="s">
        <v>2</v>
      </c>
      <c r="N4" s="1">
        <f>N3*N2</f>
        <v>2160</v>
      </c>
      <c r="P4" s="1">
        <v>2160</v>
      </c>
    </row>
    <row r="5" spans="1:16" x14ac:dyDescent="0.35">
      <c r="B5">
        <f>SUM(B2:B4)</f>
        <v>2162</v>
      </c>
      <c r="M5" t="s">
        <v>3</v>
      </c>
      <c r="N5">
        <v>1314</v>
      </c>
      <c r="P5">
        <v>1314</v>
      </c>
    </row>
    <row r="6" spans="1:16" x14ac:dyDescent="0.35">
      <c r="M6" t="s">
        <v>4</v>
      </c>
      <c r="N6">
        <f>1321+4600+60+408</f>
        <v>6389</v>
      </c>
      <c r="P6">
        <f>60+1321</f>
        <v>1381</v>
      </c>
    </row>
    <row r="7" spans="1:16" x14ac:dyDescent="0.35">
      <c r="A7" t="s">
        <v>11</v>
      </c>
      <c r="M7" t="s">
        <v>5</v>
      </c>
      <c r="N7" s="1">
        <f>N4+N6-N5</f>
        <v>7235</v>
      </c>
      <c r="P7" s="1">
        <f>P4+P6-P5</f>
        <v>2227</v>
      </c>
    </row>
    <row r="8" spans="1:16" x14ac:dyDescent="0.35">
      <c r="A8" t="s">
        <v>12</v>
      </c>
      <c r="B8" s="2">
        <v>0.43</v>
      </c>
    </row>
    <row r="9" spans="1:16" x14ac:dyDescent="0.35">
      <c r="A9" t="s">
        <v>13</v>
      </c>
      <c r="B9" s="2">
        <v>0.09</v>
      </c>
      <c r="N9">
        <f>N4/model!O2</f>
        <v>0.25631897472410109</v>
      </c>
      <c r="O9">
        <f>N4/model!O16</f>
        <v>1.0027855153203342</v>
      </c>
    </row>
    <row r="10" spans="1:16" x14ac:dyDescent="0.35">
      <c r="A10" t="s">
        <v>14</v>
      </c>
      <c r="B10" s="2">
        <v>0.15</v>
      </c>
    </row>
    <row r="11" spans="1:16" x14ac:dyDescent="0.35">
      <c r="A11" t="s">
        <v>15</v>
      </c>
      <c r="B11" s="2">
        <v>0.2</v>
      </c>
      <c r="M11" t="s">
        <v>38</v>
      </c>
      <c r="N11">
        <f>N4/model!O21</f>
        <v>0.57569296375266521</v>
      </c>
    </row>
    <row r="12" spans="1:16" x14ac:dyDescent="0.35">
      <c r="A12" t="s">
        <v>16</v>
      </c>
      <c r="B12" s="2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1BB7-EF2E-4FCF-804C-4CF23F0DEEFA}">
  <dimension ref="A1:CH25"/>
  <sheetViews>
    <sheetView workbookViewId="0">
      <pane xSplit="2" ySplit="1" topLeftCell="O11" activePane="bottomRight" state="frozen"/>
      <selection pane="topRight" activeCell="C1" sqref="C1"/>
      <selection pane="bottomLeft" activeCell="A2" sqref="A2"/>
      <selection pane="bottomRight" activeCell="Z22" sqref="Z22"/>
    </sheetView>
  </sheetViews>
  <sheetFormatPr defaultRowHeight="14.5" x14ac:dyDescent="0.35"/>
  <cols>
    <col min="1" max="1" width="7" customWidth="1"/>
    <col min="2" max="2" width="27.90625" bestFit="1" customWidth="1"/>
    <col min="10" max="10" width="10" customWidth="1"/>
    <col min="11" max="11" width="9.453125" bestFit="1" customWidth="1"/>
    <col min="16" max="16" width="8.90625" bestFit="1" customWidth="1"/>
    <col min="17" max="18" width="9.81640625" bestFit="1" customWidth="1"/>
    <col min="26" max="26" width="10.453125" bestFit="1" customWidth="1"/>
  </cols>
  <sheetData>
    <row r="1" spans="1:86" x14ac:dyDescent="0.35">
      <c r="A1" t="s">
        <v>7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f>O1+1</f>
        <v>2025</v>
      </c>
      <c r="Q1">
        <f t="shared" ref="Q1:BF1" si="0">P1+1</f>
        <v>2026</v>
      </c>
      <c r="R1">
        <f t="shared" si="0"/>
        <v>2027</v>
      </c>
      <c r="S1">
        <f t="shared" si="0"/>
        <v>2028</v>
      </c>
      <c r="T1">
        <f t="shared" si="0"/>
        <v>2029</v>
      </c>
      <c r="U1">
        <f t="shared" si="0"/>
        <v>2030</v>
      </c>
      <c r="V1">
        <f t="shared" si="0"/>
        <v>2031</v>
      </c>
      <c r="W1">
        <f t="shared" si="0"/>
        <v>2032</v>
      </c>
      <c r="X1">
        <f t="shared" si="0"/>
        <v>2033</v>
      </c>
      <c r="Y1">
        <f t="shared" si="0"/>
        <v>2034</v>
      </c>
      <c r="Z1">
        <f t="shared" si="0"/>
        <v>2035</v>
      </c>
      <c r="AA1">
        <f t="shared" si="0"/>
        <v>2036</v>
      </c>
      <c r="AB1">
        <f t="shared" si="0"/>
        <v>2037</v>
      </c>
      <c r="AC1">
        <f t="shared" si="0"/>
        <v>2038</v>
      </c>
      <c r="AD1">
        <f t="shared" si="0"/>
        <v>2039</v>
      </c>
      <c r="AE1">
        <f t="shared" si="0"/>
        <v>2040</v>
      </c>
      <c r="AF1">
        <f t="shared" si="0"/>
        <v>2041</v>
      </c>
      <c r="AG1">
        <f t="shared" si="0"/>
        <v>2042</v>
      </c>
      <c r="AH1">
        <f t="shared" si="0"/>
        <v>2043</v>
      </c>
      <c r="AI1">
        <f t="shared" si="0"/>
        <v>2044</v>
      </c>
      <c r="AJ1">
        <f t="shared" si="0"/>
        <v>2045</v>
      </c>
      <c r="AK1">
        <f t="shared" si="0"/>
        <v>2046</v>
      </c>
      <c r="AL1">
        <f t="shared" si="0"/>
        <v>2047</v>
      </c>
      <c r="AM1">
        <f t="shared" si="0"/>
        <v>2048</v>
      </c>
      <c r="AN1">
        <f t="shared" si="0"/>
        <v>2049</v>
      </c>
      <c r="AO1">
        <f t="shared" si="0"/>
        <v>2050</v>
      </c>
      <c r="AP1">
        <f t="shared" si="0"/>
        <v>2051</v>
      </c>
      <c r="AQ1">
        <f t="shared" si="0"/>
        <v>2052</v>
      </c>
      <c r="AR1">
        <f t="shared" si="0"/>
        <v>2053</v>
      </c>
      <c r="AS1">
        <f t="shared" si="0"/>
        <v>2054</v>
      </c>
      <c r="AT1">
        <f t="shared" si="0"/>
        <v>2055</v>
      </c>
      <c r="AU1">
        <f t="shared" si="0"/>
        <v>2056</v>
      </c>
      <c r="AV1">
        <f t="shared" si="0"/>
        <v>2057</v>
      </c>
      <c r="AW1">
        <f t="shared" si="0"/>
        <v>2058</v>
      </c>
      <c r="AX1">
        <f t="shared" si="0"/>
        <v>2059</v>
      </c>
      <c r="AY1">
        <f t="shared" si="0"/>
        <v>2060</v>
      </c>
      <c r="AZ1">
        <f t="shared" si="0"/>
        <v>2061</v>
      </c>
      <c r="BA1">
        <f t="shared" si="0"/>
        <v>2062</v>
      </c>
      <c r="BB1">
        <f t="shared" si="0"/>
        <v>2063</v>
      </c>
      <c r="BC1">
        <f t="shared" si="0"/>
        <v>2064</v>
      </c>
      <c r="BD1">
        <f t="shared" si="0"/>
        <v>2065</v>
      </c>
      <c r="BE1">
        <f t="shared" si="0"/>
        <v>2066</v>
      </c>
      <c r="BF1">
        <f t="shared" si="0"/>
        <v>2067</v>
      </c>
    </row>
    <row r="2" spans="1:86" x14ac:dyDescent="0.35">
      <c r="B2" s="5" t="s">
        <v>18</v>
      </c>
      <c r="C2" s="5"/>
      <c r="D2" s="5"/>
      <c r="E2" s="5"/>
      <c r="F2" s="5"/>
      <c r="G2" s="5"/>
      <c r="H2" s="5"/>
      <c r="I2" s="5"/>
      <c r="J2" s="6">
        <v>3300</v>
      </c>
      <c r="K2" s="4">
        <v>3992</v>
      </c>
      <c r="L2" s="4">
        <v>10729</v>
      </c>
      <c r="M2" s="4">
        <v>12561</v>
      </c>
      <c r="N2" s="4">
        <v>5162</v>
      </c>
      <c r="O2" s="4">
        <v>8427</v>
      </c>
      <c r="P2" s="4">
        <f>O2*0.7</f>
        <v>5898.9</v>
      </c>
      <c r="Q2" s="4">
        <f>P2*1.1</f>
        <v>6488.79</v>
      </c>
      <c r="R2" s="4">
        <f>Q2*1.1</f>
        <v>7137.6690000000008</v>
      </c>
      <c r="S2" s="4">
        <f>R2*1.1</f>
        <v>7851.4359000000013</v>
      </c>
      <c r="T2" s="4">
        <f t="shared" ref="T2:V2" si="1">S2*1.02</f>
        <v>8008.4646180000018</v>
      </c>
      <c r="U2" s="4">
        <f t="shared" si="1"/>
        <v>8168.6339103600021</v>
      </c>
      <c r="V2" s="4">
        <f t="shared" si="1"/>
        <v>8332.0065885672029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86" x14ac:dyDescent="0.35">
      <c r="B3" t="s">
        <v>19</v>
      </c>
      <c r="J3" s="7">
        <v>2811</v>
      </c>
      <c r="K3" s="1">
        <v>2835</v>
      </c>
      <c r="L3" s="1">
        <v>3906</v>
      </c>
      <c r="M3" s="1">
        <v>4764</v>
      </c>
      <c r="N3" s="1">
        <v>3885</v>
      </c>
      <c r="O3" s="1">
        <v>4513</v>
      </c>
      <c r="P3" s="1">
        <f>O3*1.02</f>
        <v>4603.26</v>
      </c>
      <c r="Q3" s="1">
        <f t="shared" ref="Q3:V3" si="2">P3*1.02</f>
        <v>4695.3252000000002</v>
      </c>
      <c r="R3" s="1">
        <f t="shared" si="2"/>
        <v>4789.2317040000007</v>
      </c>
      <c r="S3" s="1">
        <f t="shared" si="2"/>
        <v>4885.0163380800004</v>
      </c>
      <c r="T3" s="1">
        <f t="shared" si="2"/>
        <v>4982.7166648416005</v>
      </c>
      <c r="U3" s="1">
        <f t="shared" si="2"/>
        <v>5082.3709981384327</v>
      </c>
      <c r="V3" s="1">
        <f t="shared" si="2"/>
        <v>5184.0184181012019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86" x14ac:dyDescent="0.35">
      <c r="B4" t="s">
        <v>20</v>
      </c>
      <c r="J4" s="7">
        <v>226</v>
      </c>
      <c r="K4" s="1">
        <v>292</v>
      </c>
      <c r="L4" s="1">
        <v>756</v>
      </c>
      <c r="M4" s="1">
        <v>1370</v>
      </c>
      <c r="N4" s="1">
        <v>1449</v>
      </c>
      <c r="O4" s="1">
        <v>1130</v>
      </c>
      <c r="P4" s="1">
        <f t="shared" ref="P4:V4" si="3">O4*1.02</f>
        <v>1152.5999999999999</v>
      </c>
      <c r="Q4" s="1">
        <f t="shared" si="3"/>
        <v>1175.6519999999998</v>
      </c>
      <c r="R4" s="1">
        <f t="shared" si="3"/>
        <v>1199.1650399999999</v>
      </c>
      <c r="S4" s="1">
        <f t="shared" si="3"/>
        <v>1223.1483407999999</v>
      </c>
      <c r="T4" s="1">
        <f t="shared" si="3"/>
        <v>1247.611307616</v>
      </c>
      <c r="U4" s="1">
        <f t="shared" si="3"/>
        <v>1272.56353376832</v>
      </c>
      <c r="V4" s="1">
        <f t="shared" si="3"/>
        <v>1298.0148044436864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86" x14ac:dyDescent="0.35">
      <c r="B5" t="s">
        <v>21</v>
      </c>
      <c r="J5" s="7">
        <v>0</v>
      </c>
      <c r="K5" s="1">
        <v>0</v>
      </c>
      <c r="L5" s="1">
        <v>0</v>
      </c>
      <c r="M5" s="1">
        <v>0</v>
      </c>
      <c r="N5" s="1">
        <v>2034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86" x14ac:dyDescent="0.35">
      <c r="B6" s="5" t="s">
        <v>22</v>
      </c>
      <c r="J6" s="6">
        <f t="shared" ref="J6:L6" si="4">J2-J3-J4-J5</f>
        <v>263</v>
      </c>
      <c r="K6" s="4">
        <f t="shared" si="4"/>
        <v>865</v>
      </c>
      <c r="L6" s="4">
        <f t="shared" si="4"/>
        <v>6067</v>
      </c>
      <c r="M6" s="4">
        <f>M2-M3-M4-M5</f>
        <v>6427</v>
      </c>
      <c r="N6" s="4">
        <f>N2-N3-N4-N5</f>
        <v>-2206</v>
      </c>
      <c r="O6" s="4">
        <f>O2-O3-O4-O5</f>
        <v>2784</v>
      </c>
      <c r="P6" s="4">
        <f t="shared" ref="P6:V6" si="5">P2-P3-P4-P5</f>
        <v>143.03999999999951</v>
      </c>
      <c r="Q6" s="4">
        <f t="shared" si="5"/>
        <v>617.81279999999992</v>
      </c>
      <c r="R6" s="4">
        <f t="shared" si="5"/>
        <v>1149.2722560000002</v>
      </c>
      <c r="S6" s="4">
        <f t="shared" si="5"/>
        <v>1743.271221120001</v>
      </c>
      <c r="T6" s="4">
        <f t="shared" si="5"/>
        <v>1778.1366455424013</v>
      </c>
      <c r="U6" s="4">
        <f t="shared" si="5"/>
        <v>1813.6993784532494</v>
      </c>
      <c r="V6" s="4">
        <f t="shared" si="5"/>
        <v>1849.9733660223146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86" x14ac:dyDescent="0.35">
      <c r="B7" t="s">
        <v>23</v>
      </c>
      <c r="J7" s="7">
        <v>38</v>
      </c>
      <c r="K7" s="1">
        <v>13</v>
      </c>
      <c r="L7" s="1">
        <v>15</v>
      </c>
      <c r="M7" s="1">
        <v>49</v>
      </c>
      <c r="N7" s="1">
        <v>14</v>
      </c>
      <c r="O7" s="1">
        <v>46</v>
      </c>
      <c r="P7" s="1">
        <f>O7*1.02</f>
        <v>46.92</v>
      </c>
      <c r="Q7" s="1">
        <v>46</v>
      </c>
      <c r="R7" s="1">
        <v>46</v>
      </c>
      <c r="S7" s="1">
        <v>46</v>
      </c>
      <c r="T7" s="1">
        <v>46</v>
      </c>
      <c r="U7" s="1">
        <v>46</v>
      </c>
      <c r="V7" s="1">
        <v>46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86" x14ac:dyDescent="0.35">
      <c r="B8" t="s">
        <v>24</v>
      </c>
      <c r="J8" s="7">
        <v>1</v>
      </c>
      <c r="K8" s="1">
        <v>4</v>
      </c>
      <c r="L8" s="1">
        <v>1</v>
      </c>
      <c r="M8" s="1">
        <v>1</v>
      </c>
      <c r="N8" s="1">
        <v>29</v>
      </c>
      <c r="O8" s="1">
        <v>1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86" x14ac:dyDescent="0.35">
      <c r="B9" t="s">
        <v>25</v>
      </c>
      <c r="J9" s="7">
        <v>152</v>
      </c>
      <c r="K9" s="1">
        <v>163</v>
      </c>
      <c r="L9" s="1">
        <v>268</v>
      </c>
      <c r="M9" s="1">
        <v>338</v>
      </c>
      <c r="N9" s="1">
        <v>280</v>
      </c>
      <c r="O9" s="1">
        <v>296</v>
      </c>
      <c r="P9" s="1">
        <f>O9*1.03</f>
        <v>304.88</v>
      </c>
      <c r="Q9" s="1">
        <f t="shared" ref="Q9:V9" si="6">P9*1.03</f>
        <v>314.02640000000002</v>
      </c>
      <c r="R9" s="1">
        <f t="shared" si="6"/>
        <v>323.44719200000003</v>
      </c>
      <c r="S9" s="1">
        <f t="shared" si="6"/>
        <v>333.15060776000001</v>
      </c>
      <c r="T9" s="1">
        <f t="shared" si="6"/>
        <v>343.14512599280005</v>
      </c>
      <c r="U9" s="1">
        <f t="shared" si="6"/>
        <v>353.43947977258404</v>
      </c>
      <c r="V9" s="1">
        <f t="shared" si="6"/>
        <v>364.04266416576155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86" x14ac:dyDescent="0.35">
      <c r="B10" t="s">
        <v>26</v>
      </c>
      <c r="J10" s="7">
        <v>5</v>
      </c>
      <c r="K10" s="1">
        <v>3</v>
      </c>
      <c r="L10" s="1">
        <v>4</v>
      </c>
      <c r="M10" s="1">
        <v>0</v>
      </c>
      <c r="N10" s="1">
        <v>7.8</v>
      </c>
      <c r="O10" s="1">
        <v>6</v>
      </c>
      <c r="P10" s="1">
        <v>6</v>
      </c>
      <c r="Q10" s="1">
        <v>6</v>
      </c>
      <c r="R10" s="1">
        <v>6</v>
      </c>
      <c r="S10" s="1">
        <v>6</v>
      </c>
      <c r="T10" s="1">
        <v>6</v>
      </c>
      <c r="U10" s="1">
        <v>6</v>
      </c>
      <c r="V10" s="1">
        <v>6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86" x14ac:dyDescent="0.35">
      <c r="B11" t="s">
        <v>27</v>
      </c>
      <c r="J11" s="7">
        <f t="shared" ref="J11:L11" si="7">J6+J7-J8-J9-J10</f>
        <v>143</v>
      </c>
      <c r="K11" s="1">
        <f>K6+K7-K8-K9-K10</f>
        <v>708</v>
      </c>
      <c r="L11" s="1">
        <f t="shared" si="7"/>
        <v>5809</v>
      </c>
      <c r="M11" s="1">
        <f>M6+M7-M8-M9-M10</f>
        <v>6137</v>
      </c>
      <c r="N11" s="1">
        <f t="shared" ref="N11" si="8">N6+N7-N8-N9-N10</f>
        <v>-2508.8000000000002</v>
      </c>
      <c r="O11" s="1">
        <f t="shared" ref="O11:V11" si="9">O6+O7-O8-O9-O10</f>
        <v>2527</v>
      </c>
      <c r="P11" s="1">
        <f t="shared" si="9"/>
        <v>-130.92000000000047</v>
      </c>
      <c r="Q11" s="1">
        <f t="shared" si="9"/>
        <v>333.7863999999999</v>
      </c>
      <c r="R11" s="1">
        <f t="shared" si="9"/>
        <v>855.82506400000011</v>
      </c>
      <c r="S11" s="1">
        <f t="shared" si="9"/>
        <v>1440.120613360001</v>
      </c>
      <c r="T11" s="1">
        <f t="shared" si="9"/>
        <v>1464.9915195496012</v>
      </c>
      <c r="U11" s="1">
        <f t="shared" si="9"/>
        <v>1490.2598986806654</v>
      </c>
      <c r="V11" s="1">
        <f t="shared" si="9"/>
        <v>1515.930701856553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86" x14ac:dyDescent="0.35">
      <c r="B12" t="s">
        <v>28</v>
      </c>
      <c r="J12" s="7">
        <v>2</v>
      </c>
      <c r="K12" s="1">
        <v>8</v>
      </c>
      <c r="L12" s="1">
        <v>19</v>
      </c>
      <c r="M12" s="1">
        <v>131</v>
      </c>
      <c r="N12" s="1">
        <v>142</v>
      </c>
      <c r="O12" s="1">
        <v>149</v>
      </c>
      <c r="P12" s="1">
        <f>O12*1.02</f>
        <v>151.97999999999999</v>
      </c>
      <c r="Q12" s="1">
        <f t="shared" ref="Q12:V12" si="10">P12*1.02</f>
        <v>155.0196</v>
      </c>
      <c r="R12" s="1">
        <f t="shared" si="10"/>
        <v>158.119992</v>
      </c>
      <c r="S12" s="1">
        <f t="shared" si="10"/>
        <v>161.28239184</v>
      </c>
      <c r="T12" s="1">
        <f t="shared" si="10"/>
        <v>164.5080396768</v>
      </c>
      <c r="U12" s="1">
        <f t="shared" si="10"/>
        <v>167.79820047033598</v>
      </c>
      <c r="V12" s="1">
        <f t="shared" si="10"/>
        <v>171.15416447974272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86" x14ac:dyDescent="0.35">
      <c r="B13" t="s">
        <v>29</v>
      </c>
      <c r="J13" s="7">
        <v>157</v>
      </c>
      <c r="K13" s="1">
        <v>189</v>
      </c>
      <c r="L13" s="1">
        <v>175</v>
      </c>
      <c r="M13" s="1">
        <v>240</v>
      </c>
      <c r="N13" s="1">
        <v>446</v>
      </c>
      <c r="O13" s="1">
        <v>471</v>
      </c>
      <c r="P13" s="1">
        <f>O13*1.03</f>
        <v>485.13</v>
      </c>
      <c r="Q13" s="1">
        <f t="shared" ref="Q13:V13" si="11">P13*1.03</f>
        <v>499.68389999999999</v>
      </c>
      <c r="R13" s="1">
        <f t="shared" si="11"/>
        <v>514.67441700000006</v>
      </c>
      <c r="S13" s="1">
        <f t="shared" si="11"/>
        <v>530.11464951000005</v>
      </c>
      <c r="T13" s="1">
        <f t="shared" si="11"/>
        <v>546.0180889953001</v>
      </c>
      <c r="U13" s="1">
        <f t="shared" si="11"/>
        <v>562.39863166515909</v>
      </c>
      <c r="V13" s="1">
        <f t="shared" si="11"/>
        <v>579.27059061511386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86" x14ac:dyDescent="0.35">
      <c r="B14" t="s">
        <v>30</v>
      </c>
      <c r="J14" s="7">
        <f t="shared" ref="J14:L14" si="12">J11+J12-J13</f>
        <v>-12</v>
      </c>
      <c r="K14" s="1">
        <f t="shared" si="12"/>
        <v>527</v>
      </c>
      <c r="L14" s="1">
        <f t="shared" si="12"/>
        <v>5653</v>
      </c>
      <c r="M14" s="1">
        <f>M11+M12-M13</f>
        <v>6028</v>
      </c>
      <c r="N14" s="1">
        <f>N11+N12-N13</f>
        <v>-2812.8</v>
      </c>
      <c r="O14" s="1">
        <f>O11+O12-O13</f>
        <v>2205</v>
      </c>
      <c r="P14" s="1">
        <f t="shared" ref="P14:V14" si="13">P11+P12-P13</f>
        <v>-464.0700000000005</v>
      </c>
      <c r="Q14" s="1">
        <f t="shared" si="13"/>
        <v>-10.877900000000068</v>
      </c>
      <c r="R14" s="1">
        <f t="shared" si="13"/>
        <v>499.27063900000007</v>
      </c>
      <c r="S14" s="1">
        <f t="shared" si="13"/>
        <v>1071.288355690001</v>
      </c>
      <c r="T14" s="1">
        <f t="shared" si="13"/>
        <v>1083.4814702311012</v>
      </c>
      <c r="U14" s="1">
        <f t="shared" si="13"/>
        <v>1095.6594674858425</v>
      </c>
      <c r="V14" s="1">
        <f t="shared" si="13"/>
        <v>1107.814275721182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86" x14ac:dyDescent="0.35">
      <c r="B15" t="s">
        <v>31</v>
      </c>
      <c r="J15" s="7">
        <v>12</v>
      </c>
      <c r="K15" s="1">
        <v>17</v>
      </c>
      <c r="L15" s="1">
        <v>1010</v>
      </c>
      <c r="M15" s="1">
        <v>1398</v>
      </c>
      <c r="N15" s="1">
        <v>-127</v>
      </c>
      <c r="O15" s="1">
        <v>51</v>
      </c>
      <c r="P15" s="1">
        <f>P14*0.12</f>
        <v>-55.688400000000058</v>
      </c>
      <c r="Q15" s="1">
        <f t="shared" ref="Q15:V15" si="14">Q14*0.12</f>
        <v>-1.3053480000000082</v>
      </c>
      <c r="R15" s="1">
        <f t="shared" si="14"/>
        <v>59.912476680000005</v>
      </c>
      <c r="S15" s="1">
        <f t="shared" si="14"/>
        <v>128.55460268280012</v>
      </c>
      <c r="T15" s="1">
        <f t="shared" si="14"/>
        <v>130.01777642773214</v>
      </c>
      <c r="U15" s="1">
        <f t="shared" si="14"/>
        <v>131.4791360983011</v>
      </c>
      <c r="V15" s="1">
        <f t="shared" si="14"/>
        <v>132.93771308654183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86" x14ac:dyDescent="0.35">
      <c r="B16" t="s">
        <v>32</v>
      </c>
      <c r="J16" s="7">
        <f t="shared" ref="J16:L16" si="15">J14-J15</f>
        <v>-24</v>
      </c>
      <c r="K16" s="1">
        <f t="shared" si="15"/>
        <v>510</v>
      </c>
      <c r="L16" s="1">
        <f t="shared" si="15"/>
        <v>4643</v>
      </c>
      <c r="M16" s="1">
        <f>M14-M15</f>
        <v>4630</v>
      </c>
      <c r="N16" s="1">
        <f>N14-N15</f>
        <v>-2685.8</v>
      </c>
      <c r="O16" s="1">
        <f>O14-O15</f>
        <v>2154</v>
      </c>
      <c r="P16" s="1">
        <f t="shared" ref="P16:V16" si="16">P14-P15</f>
        <v>-408.38160000000045</v>
      </c>
      <c r="Q16" s="1">
        <f t="shared" si="16"/>
        <v>-9.5725520000000603</v>
      </c>
      <c r="R16" s="1">
        <f t="shared" si="16"/>
        <v>439.35816232000008</v>
      </c>
      <c r="S16" s="1">
        <f t="shared" si="16"/>
        <v>942.7337530072009</v>
      </c>
      <c r="T16" s="1">
        <f t="shared" si="16"/>
        <v>953.4636938033691</v>
      </c>
      <c r="U16" s="1">
        <f t="shared" si="16"/>
        <v>964.1803313875414</v>
      </c>
      <c r="V16" s="1">
        <f t="shared" si="16"/>
        <v>974.87656263464009</v>
      </c>
      <c r="W16" s="1">
        <f>V16*1.02</f>
        <v>994.37409388733295</v>
      </c>
      <c r="X16" s="1">
        <f t="shared" ref="X16:CH16" si="17">W16*1.02</f>
        <v>1014.2615757650797</v>
      </c>
      <c r="Y16" s="1">
        <f t="shared" si="17"/>
        <v>1034.5468072803812</v>
      </c>
      <c r="Z16" s="1">
        <f t="shared" si="17"/>
        <v>1055.2377434259888</v>
      </c>
      <c r="AA16" s="1">
        <f t="shared" si="17"/>
        <v>1076.3424982945087</v>
      </c>
      <c r="AB16" s="1">
        <f t="shared" si="17"/>
        <v>1097.869348260399</v>
      </c>
      <c r="AC16" s="1">
        <f t="shared" si="17"/>
        <v>1119.8267352256069</v>
      </c>
      <c r="AD16" s="1">
        <f t="shared" si="17"/>
        <v>1142.2232699301189</v>
      </c>
      <c r="AE16" s="1">
        <f t="shared" si="17"/>
        <v>1165.0677353287213</v>
      </c>
      <c r="AF16" s="1">
        <f t="shared" si="17"/>
        <v>1188.3690900352958</v>
      </c>
      <c r="AG16" s="1">
        <f t="shared" si="17"/>
        <v>1212.1364718360016</v>
      </c>
      <c r="AH16" s="1">
        <f t="shared" si="17"/>
        <v>1236.3792012727217</v>
      </c>
      <c r="AI16" s="1">
        <f t="shared" si="17"/>
        <v>1261.1067852981762</v>
      </c>
      <c r="AJ16" s="1">
        <f t="shared" si="17"/>
        <v>1286.3289210041398</v>
      </c>
      <c r="AK16" s="1">
        <f t="shared" si="17"/>
        <v>1312.0554994242227</v>
      </c>
      <c r="AL16" s="1">
        <f t="shared" si="17"/>
        <v>1338.2966094127071</v>
      </c>
      <c r="AM16" s="1">
        <f t="shared" si="17"/>
        <v>1365.0625416009611</v>
      </c>
      <c r="AN16" s="1">
        <f t="shared" si="17"/>
        <v>1392.3637924329803</v>
      </c>
      <c r="AO16" s="1">
        <f t="shared" si="17"/>
        <v>1420.2110682816399</v>
      </c>
      <c r="AP16" s="1">
        <f t="shared" si="17"/>
        <v>1448.6152896472727</v>
      </c>
      <c r="AQ16" s="1">
        <f t="shared" si="17"/>
        <v>1477.5875954402181</v>
      </c>
      <c r="AR16" s="1">
        <f t="shared" si="17"/>
        <v>1507.1393473490225</v>
      </c>
      <c r="AS16" s="1">
        <f t="shared" si="17"/>
        <v>1537.2821342960031</v>
      </c>
      <c r="AT16" s="1">
        <f t="shared" si="17"/>
        <v>1568.0277769819231</v>
      </c>
      <c r="AU16" s="1">
        <f t="shared" si="17"/>
        <v>1599.3883325215616</v>
      </c>
      <c r="AV16" s="1">
        <f t="shared" si="17"/>
        <v>1631.3760991719928</v>
      </c>
      <c r="AW16" s="1">
        <f t="shared" si="17"/>
        <v>1664.0036211554327</v>
      </c>
      <c r="AX16" s="1">
        <f t="shared" si="17"/>
        <v>1697.2836935785415</v>
      </c>
      <c r="AY16" s="1">
        <f t="shared" si="17"/>
        <v>1731.2293674501122</v>
      </c>
      <c r="AZ16" s="1">
        <f t="shared" si="17"/>
        <v>1765.8539547991145</v>
      </c>
      <c r="BA16" s="1">
        <f t="shared" si="17"/>
        <v>1801.1710338950968</v>
      </c>
      <c r="BB16" s="1">
        <f t="shared" si="17"/>
        <v>1837.1944545729987</v>
      </c>
      <c r="BC16" s="1">
        <f t="shared" si="17"/>
        <v>1873.9383436644587</v>
      </c>
      <c r="BD16" s="1">
        <f t="shared" si="17"/>
        <v>1911.4171105377479</v>
      </c>
      <c r="BE16" s="1">
        <f t="shared" si="17"/>
        <v>1949.645452748503</v>
      </c>
      <c r="BF16" s="1">
        <f t="shared" si="17"/>
        <v>1988.6383618034731</v>
      </c>
      <c r="BG16" s="1">
        <f t="shared" si="17"/>
        <v>2028.4111290395426</v>
      </c>
      <c r="BH16" s="1">
        <f t="shared" si="17"/>
        <v>2068.9793516203335</v>
      </c>
      <c r="BI16" s="1">
        <f t="shared" si="17"/>
        <v>2110.3589386527401</v>
      </c>
      <c r="BJ16" s="1">
        <f t="shared" si="17"/>
        <v>2152.5661174257948</v>
      </c>
      <c r="BK16" s="1">
        <f t="shared" si="17"/>
        <v>2195.6174397743107</v>
      </c>
      <c r="BL16" s="1">
        <f t="shared" si="17"/>
        <v>2239.5297885697969</v>
      </c>
      <c r="BM16" s="1">
        <f t="shared" si="17"/>
        <v>2284.3203843411929</v>
      </c>
      <c r="BN16" s="1">
        <f t="shared" si="17"/>
        <v>2330.0067920280167</v>
      </c>
      <c r="BO16" s="1">
        <f t="shared" si="17"/>
        <v>2376.6069278685773</v>
      </c>
      <c r="BP16" s="1">
        <f t="shared" si="17"/>
        <v>2424.1390664259488</v>
      </c>
      <c r="BQ16" s="1">
        <f t="shared" si="17"/>
        <v>2472.621847754468</v>
      </c>
      <c r="BR16" s="1">
        <f t="shared" si="17"/>
        <v>2522.0742847095576</v>
      </c>
      <c r="BS16" s="1">
        <f t="shared" si="17"/>
        <v>2572.5157704037488</v>
      </c>
      <c r="BT16" s="1">
        <f t="shared" si="17"/>
        <v>2623.9660858118236</v>
      </c>
      <c r="BU16" s="1">
        <f t="shared" si="17"/>
        <v>2676.4454075280601</v>
      </c>
      <c r="BV16" s="1">
        <f t="shared" si="17"/>
        <v>2729.9743156786212</v>
      </c>
      <c r="BW16" s="1">
        <f t="shared" si="17"/>
        <v>2784.5738019921937</v>
      </c>
      <c r="BX16" s="1">
        <f t="shared" si="17"/>
        <v>2840.2652780320377</v>
      </c>
      <c r="BY16" s="1">
        <f t="shared" si="17"/>
        <v>2897.0705835926783</v>
      </c>
      <c r="BZ16" s="1">
        <f t="shared" si="17"/>
        <v>2955.0119952645318</v>
      </c>
      <c r="CA16" s="1">
        <f t="shared" si="17"/>
        <v>3014.1122351698227</v>
      </c>
      <c r="CB16" s="1">
        <f t="shared" si="17"/>
        <v>3074.3944798732191</v>
      </c>
      <c r="CC16" s="1">
        <f t="shared" si="17"/>
        <v>3135.8823694706834</v>
      </c>
      <c r="CD16" s="1">
        <f t="shared" si="17"/>
        <v>3198.6000168600972</v>
      </c>
      <c r="CE16" s="1">
        <f t="shared" si="17"/>
        <v>3262.5720171972994</v>
      </c>
      <c r="CF16" s="1">
        <f t="shared" si="17"/>
        <v>3327.8234575412453</v>
      </c>
      <c r="CG16" s="1">
        <f t="shared" si="17"/>
        <v>3394.3799266920701</v>
      </c>
      <c r="CH16" s="1">
        <f t="shared" si="17"/>
        <v>3462.2675252259114</v>
      </c>
    </row>
    <row r="18" spans="2:26" x14ac:dyDescent="0.35">
      <c r="B18" t="s">
        <v>36</v>
      </c>
      <c r="J18" s="3"/>
      <c r="K18" s="3">
        <f t="shared" ref="K18:N18" si="18">K2/J2-1</f>
        <v>0.20969696969696972</v>
      </c>
      <c r="L18" s="3">
        <f t="shared" si="18"/>
        <v>1.6876252505010019</v>
      </c>
      <c r="M18" s="3">
        <f t="shared" si="18"/>
        <v>0.17075216702395379</v>
      </c>
      <c r="N18" s="3">
        <f t="shared" si="18"/>
        <v>-0.58904545816415887</v>
      </c>
      <c r="O18" s="3">
        <f>O2/N2-1</f>
        <v>0.63250678031770624</v>
      </c>
      <c r="P18" s="3">
        <f t="shared" ref="P18:V18" si="19">P2/O2-1</f>
        <v>-0.30000000000000004</v>
      </c>
      <c r="Q18" s="3">
        <f t="shared" si="19"/>
        <v>0.10000000000000009</v>
      </c>
      <c r="R18" s="3">
        <f t="shared" si="19"/>
        <v>0.10000000000000009</v>
      </c>
      <c r="S18" s="3">
        <f t="shared" si="19"/>
        <v>0.10000000000000009</v>
      </c>
      <c r="T18" s="3">
        <f t="shared" si="19"/>
        <v>2.0000000000000018E-2</v>
      </c>
      <c r="U18" s="3">
        <f t="shared" si="19"/>
        <v>2.0000000000000018E-2</v>
      </c>
      <c r="V18" s="3">
        <f t="shared" si="19"/>
        <v>2.0000000000000018E-2</v>
      </c>
    </row>
    <row r="19" spans="2:26" x14ac:dyDescent="0.35">
      <c r="B19" t="s">
        <v>37</v>
      </c>
      <c r="J19" s="3"/>
      <c r="K19" s="3">
        <f>K16/J16-1</f>
        <v>-22.25</v>
      </c>
      <c r="L19" s="3">
        <f t="shared" ref="L19:N19" si="20">L16/K16-1</f>
        <v>8.1039215686274506</v>
      </c>
      <c r="M19" s="3">
        <f t="shared" si="20"/>
        <v>-2.7999138488046249E-3</v>
      </c>
      <c r="N19" s="3">
        <f t="shared" si="20"/>
        <v>-1.5800863930885529</v>
      </c>
      <c r="O19" s="3">
        <f>O16/N16-1</f>
        <v>-1.8019956809889046</v>
      </c>
      <c r="Y19" t="s">
        <v>39</v>
      </c>
      <c r="Z19" s="2">
        <v>0.02</v>
      </c>
    </row>
    <row r="20" spans="2:26" x14ac:dyDescent="0.35">
      <c r="B20" t="s">
        <v>33</v>
      </c>
      <c r="J20" s="1">
        <v>370</v>
      </c>
      <c r="K20" s="1">
        <v>880</v>
      </c>
      <c r="L20" s="1">
        <v>5970</v>
      </c>
      <c r="M20" s="1">
        <v>6110</v>
      </c>
      <c r="N20" s="1">
        <v>1020</v>
      </c>
      <c r="O20" s="1">
        <v>3752</v>
      </c>
      <c r="Y20" t="s">
        <v>40</v>
      </c>
      <c r="Z20" s="2">
        <v>0.08</v>
      </c>
    </row>
    <row r="21" spans="2:26" x14ac:dyDescent="0.35">
      <c r="B21" t="s">
        <v>35</v>
      </c>
      <c r="J21" s="4">
        <f>J20-16</f>
        <v>354</v>
      </c>
      <c r="K21" s="4">
        <f>K20-43</f>
        <v>837</v>
      </c>
      <c r="L21" s="4">
        <f>L20-1005</f>
        <v>4965</v>
      </c>
      <c r="M21" s="1">
        <f t="shared" ref="M21:N21" si="21">M20-0</f>
        <v>6110</v>
      </c>
      <c r="N21" s="1">
        <f t="shared" si="21"/>
        <v>1020</v>
      </c>
      <c r="O21" s="1">
        <f>O20-0</f>
        <v>3752</v>
      </c>
      <c r="Y21" t="s">
        <v>41</v>
      </c>
      <c r="Z21" t="s">
        <v>44</v>
      </c>
    </row>
    <row r="22" spans="2:26" x14ac:dyDescent="0.35">
      <c r="Y22" t="s">
        <v>42</v>
      </c>
      <c r="Z22" s="8">
        <f>NPV(Z20,P16:CH16)+main!N5-main!N6</f>
        <v>6826.5442598739028</v>
      </c>
    </row>
    <row r="23" spans="2:26" x14ac:dyDescent="0.35">
      <c r="B23" t="s">
        <v>34</v>
      </c>
      <c r="J23" s="3"/>
      <c r="K23" s="3">
        <f t="shared" ref="K23:M23" si="22">K21/J21-1</f>
        <v>1.3644067796610169</v>
      </c>
      <c r="L23" s="3">
        <f t="shared" si="22"/>
        <v>4.9318996415770613</v>
      </c>
      <c r="M23" s="3">
        <f t="shared" si="22"/>
        <v>0.23061430010070483</v>
      </c>
      <c r="N23" s="3">
        <f>N21/M21-1</f>
        <v>-0.83306055646481181</v>
      </c>
      <c r="O23" s="3">
        <f>O21/N21-1</f>
        <v>2.6784313725490194</v>
      </c>
      <c r="Y23" t="s">
        <v>43</v>
      </c>
      <c r="Z23">
        <f>Z22/main!N3</f>
        <v>56.887868832282521</v>
      </c>
    </row>
    <row r="25" spans="2:26" x14ac:dyDescent="0.35">
      <c r="J25" s="3">
        <f>J15/J14</f>
        <v>-1</v>
      </c>
      <c r="K25" s="3">
        <f t="shared" ref="K25:N25" si="23">K15/K14</f>
        <v>3.2258064516129031E-2</v>
      </c>
      <c r="L25" s="3">
        <f t="shared" si="23"/>
        <v>0.17866619494073943</v>
      </c>
      <c r="M25" s="3">
        <f t="shared" si="23"/>
        <v>0.23191771731917718</v>
      </c>
      <c r="N25" s="3">
        <f t="shared" si="23"/>
        <v>4.515073947667804E-2</v>
      </c>
      <c r="O25" s="3">
        <f>O15/O14</f>
        <v>2.3129251700680271E-2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2025-05-15T20:30:36Z</dcterms:modified>
</cp:coreProperties>
</file>