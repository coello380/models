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EA64790E-61EC-4B79-B2C2-FA9D061DB254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2" l="1"/>
  <c r="Y20" i="2" s="1"/>
  <c r="Z20" i="2" s="1"/>
  <c r="AA20" i="2" s="1"/>
  <c r="AB20" i="2" s="1"/>
  <c r="AC20" i="2" s="1"/>
  <c r="AD20" i="2" s="1"/>
  <c r="AE20" i="2" s="1"/>
  <c r="AF20" i="2" s="1"/>
  <c r="AG20" i="2" s="1"/>
  <c r="AH20" i="2" s="1"/>
  <c r="AI20" i="2" s="1"/>
  <c r="AJ20" i="2" s="1"/>
  <c r="AK20" i="2" s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DS20" i="2" s="1"/>
  <c r="DT20" i="2" s="1"/>
  <c r="DU20" i="2" s="1"/>
  <c r="DV20" i="2" s="1"/>
  <c r="W20" i="2"/>
  <c r="R20" i="2"/>
  <c r="S20" i="2" s="1"/>
  <c r="T20" i="2" s="1"/>
  <c r="U20" i="2" s="1"/>
  <c r="V20" i="2" s="1"/>
  <c r="Q20" i="2"/>
  <c r="T1" i="2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CX1" i="2" s="1"/>
  <c r="CY1" i="2" s="1"/>
  <c r="CZ1" i="2" s="1"/>
  <c r="DA1" i="2" s="1"/>
  <c r="DB1" i="2" s="1"/>
  <c r="DC1" i="2" s="1"/>
  <c r="DD1" i="2" s="1"/>
  <c r="DE1" i="2" s="1"/>
  <c r="DF1" i="2" s="1"/>
  <c r="DG1" i="2" s="1"/>
  <c r="DH1" i="2" s="1"/>
  <c r="DI1" i="2" s="1"/>
  <c r="DJ1" i="2" s="1"/>
  <c r="DK1" i="2" s="1"/>
  <c r="DL1" i="2" s="1"/>
  <c r="DM1" i="2" s="1"/>
  <c r="DN1" i="2" s="1"/>
  <c r="DO1" i="2" s="1"/>
  <c r="DP1" i="2" s="1"/>
  <c r="DQ1" i="2" s="1"/>
  <c r="DR1" i="2" s="1"/>
  <c r="DS1" i="2" s="1"/>
  <c r="DT1" i="2" s="1"/>
  <c r="DU1" i="2" s="1"/>
  <c r="DV1" i="2" s="1"/>
  <c r="O24" i="2"/>
  <c r="N24" i="2"/>
  <c r="N12" i="2"/>
  <c r="M4" i="2"/>
  <c r="N4" i="2"/>
  <c r="P24" i="2"/>
  <c r="O16" i="2"/>
  <c r="O18" i="2" s="1"/>
  <c r="O20" i="2" s="1"/>
  <c r="P20" i="2"/>
  <c r="P18" i="2"/>
  <c r="P16" i="2"/>
  <c r="O4" i="2"/>
  <c r="O12" i="2"/>
  <c r="P4" i="2"/>
  <c r="P12" i="2" s="1"/>
  <c r="H23" i="2"/>
  <c r="G16" i="2"/>
  <c r="G4" i="2"/>
  <c r="G12" i="2" s="1"/>
  <c r="D16" i="2"/>
  <c r="D4" i="2"/>
  <c r="D12" i="2" s="1"/>
  <c r="E31" i="2"/>
  <c r="E16" i="2"/>
  <c r="E4" i="2"/>
  <c r="E12" i="2" s="1"/>
  <c r="E18" i="2" s="1"/>
  <c r="E20" i="2" s="1"/>
  <c r="M12" i="2" l="1"/>
  <c r="M18" i="2" s="1"/>
  <c r="M20" i="2" s="1"/>
  <c r="N18" i="2"/>
  <c r="N20" i="2" s="1"/>
  <c r="G18" i="2"/>
  <c r="G20" i="2" s="1"/>
  <c r="D18" i="2"/>
  <c r="D20" i="2" s="1"/>
  <c r="M1" i="2"/>
  <c r="N1" i="2" s="1"/>
  <c r="O1" i="2" s="1"/>
  <c r="P1" i="2" s="1"/>
  <c r="Q1" i="2" s="1"/>
  <c r="R1" i="2" s="1"/>
  <c r="S1" i="2" s="1"/>
  <c r="I31" i="2"/>
  <c r="Q15" i="1" s="1"/>
  <c r="C31" i="2"/>
  <c r="H30" i="2"/>
  <c r="H31" i="2" s="1"/>
  <c r="I30" i="2"/>
  <c r="I24" i="2"/>
  <c r="I16" i="2"/>
  <c r="I4" i="2"/>
  <c r="I12" i="2" s="1"/>
  <c r="H16" i="2"/>
  <c r="H4" i="2"/>
  <c r="H12" i="2" s="1"/>
  <c r="Q12" i="1"/>
  <c r="Q11" i="1"/>
  <c r="Q9" i="1"/>
  <c r="Q8" i="1"/>
  <c r="Q6" i="1"/>
  <c r="I18" i="2" l="1"/>
  <c r="I20" i="2" s="1"/>
  <c r="Q14" i="1" s="1"/>
  <c r="Q36" i="2"/>
  <c r="Q37" i="2" s="1"/>
  <c r="Q39" i="2" s="1"/>
  <c r="H18" i="2"/>
  <c r="H20" i="2" s="1"/>
</calcChain>
</file>

<file path=xl/sharedStrings.xml><?xml version="1.0" encoding="utf-8"?>
<sst xmlns="http://schemas.openxmlformats.org/spreadsheetml/2006/main" count="47" uniqueCount="47">
  <si>
    <t>Price</t>
  </si>
  <si>
    <t>Shares</t>
  </si>
  <si>
    <t>MC</t>
  </si>
  <si>
    <t>Cash</t>
  </si>
  <si>
    <t>Debt</t>
  </si>
  <si>
    <t>EV</t>
  </si>
  <si>
    <t>debt to assets</t>
  </si>
  <si>
    <t>Tot assets</t>
  </si>
  <si>
    <t>debt to cash</t>
  </si>
  <si>
    <t>main</t>
  </si>
  <si>
    <t>4Q24</t>
  </si>
  <si>
    <t>1Q24</t>
  </si>
  <si>
    <t>Revenue</t>
  </si>
  <si>
    <t>COGS</t>
  </si>
  <si>
    <t>Gross profit</t>
  </si>
  <si>
    <t>Selling expenses</t>
  </si>
  <si>
    <t>SG&amp;A</t>
  </si>
  <si>
    <t>R&amp;D</t>
  </si>
  <si>
    <t>Exploration costs</t>
  </si>
  <si>
    <t>Other taxes</t>
  </si>
  <si>
    <t xml:space="preserve">Other income and expenses, net </t>
  </si>
  <si>
    <t>Operating income</t>
  </si>
  <si>
    <t>Finance income</t>
  </si>
  <si>
    <t>Finance expenses</t>
  </si>
  <si>
    <t>Foreign exchange gain (losses) and inflation indexation charges</t>
  </si>
  <si>
    <t>Net finance income (expense)</t>
  </si>
  <si>
    <t>results of equity-accounted investments</t>
  </si>
  <si>
    <t>Income (loss) before income taxes</t>
  </si>
  <si>
    <t>Income taxes</t>
  </si>
  <si>
    <t>Net Income (loss</t>
  </si>
  <si>
    <t>Net income to shareholders</t>
  </si>
  <si>
    <t>To non controlling interests</t>
  </si>
  <si>
    <t>2Q24</t>
  </si>
  <si>
    <t>3Q24</t>
  </si>
  <si>
    <t>Impairment (gains) reversals, net</t>
  </si>
  <si>
    <t>revenue y/y</t>
  </si>
  <si>
    <t>CFFO</t>
  </si>
  <si>
    <t>CAPEX</t>
  </si>
  <si>
    <t>FCF</t>
  </si>
  <si>
    <t>p/e</t>
  </si>
  <si>
    <t>p/FCF</t>
  </si>
  <si>
    <t>terminal</t>
  </si>
  <si>
    <t>discount</t>
  </si>
  <si>
    <t>NPV</t>
  </si>
  <si>
    <t>1Q25</t>
  </si>
  <si>
    <t>4Q23</t>
  </si>
  <si>
    <t>Net of currency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</si>
</sst>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2" fillId="0" borderId="0" xfId="1"/>
    <xf numFmtId="0" fontId="1" fillId="0" borderId="0" xfId="0" applyFont="1"/>
    <xf numFmtId="10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8" fontId="0" fillId="0" borderId="0" xfId="0" applyNumberFormat="1"/>
    <xf numFmtId="9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6350</xdr:colOff>
      <xdr:row>0</xdr:row>
      <xdr:rowOff>44450</xdr:rowOff>
    </xdr:from>
    <xdr:to>
      <xdr:col>16</xdr:col>
      <xdr:colOff>38100</xdr:colOff>
      <xdr:row>32</xdr:row>
      <xdr:rowOff>82550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6AA3875-22B4-2D53-8CB8-B6227823AD2E}"/>
            </a:ext>
          </a:extLst>
        </xdr:cNvPr>
        <xdr:cNvCxnSpPr/>
      </xdr:nvCxnSpPr>
      <xdr:spPr>
        <a:xfrm>
          <a:off x="12788900" y="44450"/>
          <a:ext cx="31750" cy="5930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P4:Q15"/>
  <sheetViews>
    <sheetView zoomScale="85" zoomScaleNormal="85" workbookViewId="0">
      <selection activeCell="Q14" sqref="Q14"/>
    </sheetView>
  </sheetViews>
  <sheetFormatPr defaultRowHeight="14.5" x14ac:dyDescent="0.35"/>
  <cols>
    <col min="16" max="16" width="12.36328125" bestFit="1" customWidth="1"/>
    <col min="17" max="17" width="9.54296875" bestFit="1" customWidth="1"/>
  </cols>
  <sheetData>
    <row r="4" spans="16:17" x14ac:dyDescent="0.35">
      <c r="P4" t="s">
        <v>0</v>
      </c>
      <c r="Q4">
        <v>12.07</v>
      </c>
    </row>
    <row r="5" spans="16:17" x14ac:dyDescent="0.35">
      <c r="P5" t="s">
        <v>1</v>
      </c>
      <c r="Q5" s="1">
        <v>3700</v>
      </c>
    </row>
    <row r="6" spans="16:17" x14ac:dyDescent="0.35">
      <c r="P6" t="s">
        <v>2</v>
      </c>
      <c r="Q6" s="1">
        <f>Q4*Q5</f>
        <v>44659</v>
      </c>
    </row>
    <row r="7" spans="16:17" x14ac:dyDescent="0.35">
      <c r="P7" t="s">
        <v>3</v>
      </c>
      <c r="Q7" s="1">
        <v>12727</v>
      </c>
    </row>
    <row r="8" spans="16:17" x14ac:dyDescent="0.35">
      <c r="P8" t="s">
        <v>4</v>
      </c>
      <c r="Q8" s="1">
        <f>4322+24479</f>
        <v>28801</v>
      </c>
    </row>
    <row r="9" spans="16:17" x14ac:dyDescent="0.35">
      <c r="P9" t="s">
        <v>5</v>
      </c>
      <c r="Q9" s="1">
        <f>Q6+Q8-Q7</f>
        <v>60733</v>
      </c>
    </row>
    <row r="10" spans="16:17" x14ac:dyDescent="0.35">
      <c r="P10" t="s">
        <v>7</v>
      </c>
      <c r="Q10" s="1">
        <v>217067</v>
      </c>
    </row>
    <row r="11" spans="16:17" x14ac:dyDescent="0.35">
      <c r="P11" t="s">
        <v>6</v>
      </c>
      <c r="Q11">
        <f>Q8/Q10</f>
        <v>0.13268253580691675</v>
      </c>
    </row>
    <row r="12" spans="16:17" x14ac:dyDescent="0.35">
      <c r="P12" t="s">
        <v>8</v>
      </c>
      <c r="Q12">
        <f>Q8/Q7</f>
        <v>2.2629842068044317</v>
      </c>
    </row>
    <row r="14" spans="16:17" x14ac:dyDescent="0.35">
      <c r="P14" t="s">
        <v>39</v>
      </c>
      <c r="Q14">
        <f>Q6/model!I20</f>
        <v>7.4493744787322766</v>
      </c>
    </row>
    <row r="15" spans="16:17" x14ac:dyDescent="0.35">
      <c r="P15" t="s">
        <v>40</v>
      </c>
      <c r="Q15">
        <f>Q6/model!I31</f>
        <v>7.891676974730518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8509-6979-4ECA-9552-08428AC01891}">
  <dimension ref="A1:DV3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Q20" sqref="Q20:V20"/>
    </sheetView>
  </sheetViews>
  <sheetFormatPr defaultRowHeight="14.5" x14ac:dyDescent="0.35"/>
  <cols>
    <col min="1" max="1" width="5" bestFit="1" customWidth="1"/>
    <col min="2" max="2" width="54" bestFit="1" customWidth="1"/>
    <col min="15" max="15" width="9.81640625" bestFit="1" customWidth="1"/>
    <col min="16" max="16" width="9.453125" bestFit="1" customWidth="1"/>
    <col min="17" max="17" width="11.453125" bestFit="1" customWidth="1"/>
  </cols>
  <sheetData>
    <row r="1" spans="1:126" x14ac:dyDescent="0.35">
      <c r="A1" s="2" t="s">
        <v>9</v>
      </c>
      <c r="D1" t="s">
        <v>45</v>
      </c>
      <c r="E1" t="s">
        <v>11</v>
      </c>
      <c r="F1" t="s">
        <v>32</v>
      </c>
      <c r="G1" t="s">
        <v>33</v>
      </c>
      <c r="H1" t="s">
        <v>10</v>
      </c>
      <c r="I1" t="s">
        <v>44</v>
      </c>
      <c r="L1">
        <v>2020</v>
      </c>
      <c r="M1">
        <f>L1+1</f>
        <v>2021</v>
      </c>
      <c r="N1">
        <f t="shared" ref="N1:S1" si="0">M1+1</f>
        <v>2022</v>
      </c>
      <c r="O1">
        <f t="shared" si="0"/>
        <v>2023</v>
      </c>
      <c r="P1">
        <f t="shared" si="0"/>
        <v>2024</v>
      </c>
      <c r="Q1">
        <f t="shared" si="0"/>
        <v>2025</v>
      </c>
      <c r="R1">
        <f t="shared" si="0"/>
        <v>2026</v>
      </c>
      <c r="S1">
        <f t="shared" si="0"/>
        <v>2027</v>
      </c>
      <c r="T1">
        <f t="shared" ref="T1" si="1">S1+1</f>
        <v>2028</v>
      </c>
      <c r="U1">
        <f t="shared" ref="U1" si="2">T1+1</f>
        <v>2029</v>
      </c>
      <c r="V1">
        <f t="shared" ref="V1" si="3">U1+1</f>
        <v>2030</v>
      </c>
      <c r="W1">
        <f t="shared" ref="W1" si="4">V1+1</f>
        <v>2031</v>
      </c>
      <c r="X1">
        <f t="shared" ref="X1" si="5">W1+1</f>
        <v>2032</v>
      </c>
      <c r="Y1">
        <f t="shared" ref="Y1" si="6">X1+1</f>
        <v>2033</v>
      </c>
      <c r="Z1">
        <f t="shared" ref="Z1" si="7">Y1+1</f>
        <v>2034</v>
      </c>
      <c r="AA1">
        <f t="shared" ref="AA1" si="8">Z1+1</f>
        <v>2035</v>
      </c>
      <c r="AB1">
        <f t="shared" ref="AB1" si="9">AA1+1</f>
        <v>2036</v>
      </c>
      <c r="AC1">
        <f t="shared" ref="AC1" si="10">AB1+1</f>
        <v>2037</v>
      </c>
      <c r="AD1">
        <f t="shared" ref="AD1" si="11">AC1+1</f>
        <v>2038</v>
      </c>
      <c r="AE1">
        <f t="shared" ref="AE1" si="12">AD1+1</f>
        <v>2039</v>
      </c>
      <c r="AF1">
        <f t="shared" ref="AF1" si="13">AE1+1</f>
        <v>2040</v>
      </c>
      <c r="AG1">
        <f t="shared" ref="AG1" si="14">AF1+1</f>
        <v>2041</v>
      </c>
      <c r="AH1">
        <f t="shared" ref="AH1" si="15">AG1+1</f>
        <v>2042</v>
      </c>
      <c r="AI1">
        <f t="shared" ref="AI1" si="16">AH1+1</f>
        <v>2043</v>
      </c>
      <c r="AJ1">
        <f t="shared" ref="AJ1" si="17">AI1+1</f>
        <v>2044</v>
      </c>
      <c r="AK1">
        <f t="shared" ref="AK1" si="18">AJ1+1</f>
        <v>2045</v>
      </c>
      <c r="AL1">
        <f t="shared" ref="AL1" si="19">AK1+1</f>
        <v>2046</v>
      </c>
      <c r="AM1">
        <f t="shared" ref="AM1" si="20">AL1+1</f>
        <v>2047</v>
      </c>
      <c r="AN1">
        <f t="shared" ref="AN1" si="21">AM1+1</f>
        <v>2048</v>
      </c>
      <c r="AO1">
        <f t="shared" ref="AO1" si="22">AN1+1</f>
        <v>2049</v>
      </c>
      <c r="AP1">
        <f t="shared" ref="AP1" si="23">AO1+1</f>
        <v>2050</v>
      </c>
      <c r="AQ1">
        <f t="shared" ref="AQ1" si="24">AP1+1</f>
        <v>2051</v>
      </c>
      <c r="AR1">
        <f t="shared" ref="AR1" si="25">AQ1+1</f>
        <v>2052</v>
      </c>
      <c r="AS1">
        <f t="shared" ref="AS1" si="26">AR1+1</f>
        <v>2053</v>
      </c>
      <c r="AT1">
        <f t="shared" ref="AT1" si="27">AS1+1</f>
        <v>2054</v>
      </c>
      <c r="AU1">
        <f t="shared" ref="AU1" si="28">AT1+1</f>
        <v>2055</v>
      </c>
      <c r="AV1">
        <f t="shared" ref="AV1" si="29">AU1+1</f>
        <v>2056</v>
      </c>
      <c r="AW1">
        <f t="shared" ref="AW1" si="30">AV1+1</f>
        <v>2057</v>
      </c>
      <c r="AX1">
        <f t="shared" ref="AX1" si="31">AW1+1</f>
        <v>2058</v>
      </c>
      <c r="AY1">
        <f t="shared" ref="AY1" si="32">AX1+1</f>
        <v>2059</v>
      </c>
      <c r="AZ1">
        <f t="shared" ref="AZ1" si="33">AY1+1</f>
        <v>2060</v>
      </c>
      <c r="BA1">
        <f t="shared" ref="BA1" si="34">AZ1+1</f>
        <v>2061</v>
      </c>
      <c r="BB1">
        <f t="shared" ref="BB1" si="35">BA1+1</f>
        <v>2062</v>
      </c>
      <c r="BC1">
        <f t="shared" ref="BC1" si="36">BB1+1</f>
        <v>2063</v>
      </c>
      <c r="BD1">
        <f t="shared" ref="BD1" si="37">BC1+1</f>
        <v>2064</v>
      </c>
      <c r="BE1">
        <f t="shared" ref="BE1" si="38">BD1+1</f>
        <v>2065</v>
      </c>
      <c r="BF1">
        <f t="shared" ref="BF1" si="39">BE1+1</f>
        <v>2066</v>
      </c>
      <c r="BG1">
        <f t="shared" ref="BG1" si="40">BF1+1</f>
        <v>2067</v>
      </c>
      <c r="BH1">
        <f t="shared" ref="BH1" si="41">BG1+1</f>
        <v>2068</v>
      </c>
      <c r="BI1">
        <f t="shared" ref="BI1" si="42">BH1+1</f>
        <v>2069</v>
      </c>
      <c r="BJ1">
        <f t="shared" ref="BJ1" si="43">BI1+1</f>
        <v>2070</v>
      </c>
      <c r="BK1">
        <f t="shared" ref="BK1" si="44">BJ1+1</f>
        <v>2071</v>
      </c>
      <c r="BL1">
        <f t="shared" ref="BL1" si="45">BK1+1</f>
        <v>2072</v>
      </c>
      <c r="BM1">
        <f t="shared" ref="BM1" si="46">BL1+1</f>
        <v>2073</v>
      </c>
      <c r="BN1">
        <f t="shared" ref="BN1" si="47">BM1+1</f>
        <v>2074</v>
      </c>
      <c r="BO1">
        <f t="shared" ref="BO1" si="48">BN1+1</f>
        <v>2075</v>
      </c>
      <c r="BP1">
        <f t="shared" ref="BP1" si="49">BO1+1</f>
        <v>2076</v>
      </c>
      <c r="BQ1">
        <f t="shared" ref="BQ1" si="50">BP1+1</f>
        <v>2077</v>
      </c>
      <c r="BR1">
        <f t="shared" ref="BR1" si="51">BQ1+1</f>
        <v>2078</v>
      </c>
      <c r="BS1">
        <f t="shared" ref="BS1" si="52">BR1+1</f>
        <v>2079</v>
      </c>
      <c r="BT1">
        <f t="shared" ref="BT1" si="53">BS1+1</f>
        <v>2080</v>
      </c>
      <c r="BU1">
        <f t="shared" ref="BU1" si="54">BT1+1</f>
        <v>2081</v>
      </c>
      <c r="BV1">
        <f t="shared" ref="BV1" si="55">BU1+1</f>
        <v>2082</v>
      </c>
      <c r="BW1">
        <f t="shared" ref="BW1" si="56">BV1+1</f>
        <v>2083</v>
      </c>
      <c r="BX1">
        <f t="shared" ref="BX1" si="57">BW1+1</f>
        <v>2084</v>
      </c>
      <c r="BY1">
        <f t="shared" ref="BY1" si="58">BX1+1</f>
        <v>2085</v>
      </c>
      <c r="BZ1">
        <f t="shared" ref="BZ1" si="59">BY1+1</f>
        <v>2086</v>
      </c>
      <c r="CA1">
        <f t="shared" ref="CA1" si="60">BZ1+1</f>
        <v>2087</v>
      </c>
      <c r="CB1">
        <f t="shared" ref="CB1" si="61">CA1+1</f>
        <v>2088</v>
      </c>
      <c r="CC1">
        <f t="shared" ref="CC1" si="62">CB1+1</f>
        <v>2089</v>
      </c>
      <c r="CD1">
        <f t="shared" ref="CD1" si="63">CC1+1</f>
        <v>2090</v>
      </c>
      <c r="CE1">
        <f t="shared" ref="CE1" si="64">CD1+1</f>
        <v>2091</v>
      </c>
      <c r="CF1">
        <f t="shared" ref="CF1" si="65">CE1+1</f>
        <v>2092</v>
      </c>
      <c r="CG1">
        <f t="shared" ref="CG1" si="66">CF1+1</f>
        <v>2093</v>
      </c>
      <c r="CH1">
        <f t="shared" ref="CH1" si="67">CG1+1</f>
        <v>2094</v>
      </c>
      <c r="CI1">
        <f t="shared" ref="CI1" si="68">CH1+1</f>
        <v>2095</v>
      </c>
      <c r="CJ1">
        <f t="shared" ref="CJ1" si="69">CI1+1</f>
        <v>2096</v>
      </c>
      <c r="CK1">
        <f t="shared" ref="CK1" si="70">CJ1+1</f>
        <v>2097</v>
      </c>
      <c r="CL1">
        <f t="shared" ref="CL1" si="71">CK1+1</f>
        <v>2098</v>
      </c>
      <c r="CM1">
        <f t="shared" ref="CM1" si="72">CL1+1</f>
        <v>2099</v>
      </c>
      <c r="CN1">
        <f t="shared" ref="CN1" si="73">CM1+1</f>
        <v>2100</v>
      </c>
      <c r="CO1">
        <f t="shared" ref="CO1" si="74">CN1+1</f>
        <v>2101</v>
      </c>
      <c r="CP1">
        <f t="shared" ref="CP1" si="75">CO1+1</f>
        <v>2102</v>
      </c>
      <c r="CQ1">
        <f t="shared" ref="CQ1" si="76">CP1+1</f>
        <v>2103</v>
      </c>
      <c r="CR1">
        <f t="shared" ref="CR1" si="77">CQ1+1</f>
        <v>2104</v>
      </c>
      <c r="CS1">
        <f t="shared" ref="CS1" si="78">CR1+1</f>
        <v>2105</v>
      </c>
      <c r="CT1">
        <f t="shared" ref="CT1" si="79">CS1+1</f>
        <v>2106</v>
      </c>
      <c r="CU1">
        <f t="shared" ref="CU1" si="80">CT1+1</f>
        <v>2107</v>
      </c>
      <c r="CV1">
        <f t="shared" ref="CV1" si="81">CU1+1</f>
        <v>2108</v>
      </c>
      <c r="CW1">
        <f t="shared" ref="CW1" si="82">CV1+1</f>
        <v>2109</v>
      </c>
      <c r="CX1">
        <f t="shared" ref="CX1" si="83">CW1+1</f>
        <v>2110</v>
      </c>
      <c r="CY1">
        <f t="shared" ref="CY1" si="84">CX1+1</f>
        <v>2111</v>
      </c>
      <c r="CZ1">
        <f t="shared" ref="CZ1" si="85">CY1+1</f>
        <v>2112</v>
      </c>
      <c r="DA1">
        <f t="shared" ref="DA1" si="86">CZ1+1</f>
        <v>2113</v>
      </c>
      <c r="DB1">
        <f t="shared" ref="DB1" si="87">DA1+1</f>
        <v>2114</v>
      </c>
      <c r="DC1">
        <f t="shared" ref="DC1" si="88">DB1+1</f>
        <v>2115</v>
      </c>
      <c r="DD1">
        <f t="shared" ref="DD1" si="89">DC1+1</f>
        <v>2116</v>
      </c>
      <c r="DE1">
        <f t="shared" ref="DE1" si="90">DD1+1</f>
        <v>2117</v>
      </c>
      <c r="DF1">
        <f t="shared" ref="DF1" si="91">DE1+1</f>
        <v>2118</v>
      </c>
      <c r="DG1">
        <f t="shared" ref="DG1" si="92">DF1+1</f>
        <v>2119</v>
      </c>
      <c r="DH1">
        <f t="shared" ref="DH1" si="93">DG1+1</f>
        <v>2120</v>
      </c>
      <c r="DI1">
        <f t="shared" ref="DI1" si="94">DH1+1</f>
        <v>2121</v>
      </c>
      <c r="DJ1">
        <f t="shared" ref="DJ1" si="95">DI1+1</f>
        <v>2122</v>
      </c>
      <c r="DK1">
        <f t="shared" ref="DK1" si="96">DJ1+1</f>
        <v>2123</v>
      </c>
      <c r="DL1">
        <f t="shared" ref="DL1" si="97">DK1+1</f>
        <v>2124</v>
      </c>
      <c r="DM1">
        <f t="shared" ref="DM1" si="98">DL1+1</f>
        <v>2125</v>
      </c>
      <c r="DN1">
        <f t="shared" ref="DN1" si="99">DM1+1</f>
        <v>2126</v>
      </c>
      <c r="DO1">
        <f t="shared" ref="DO1" si="100">DN1+1</f>
        <v>2127</v>
      </c>
      <c r="DP1">
        <f t="shared" ref="DP1" si="101">DO1+1</f>
        <v>2128</v>
      </c>
      <c r="DQ1">
        <f t="shared" ref="DQ1" si="102">DP1+1</f>
        <v>2129</v>
      </c>
      <c r="DR1">
        <f t="shared" ref="DR1" si="103">DQ1+1</f>
        <v>2130</v>
      </c>
      <c r="DS1">
        <f t="shared" ref="DS1" si="104">DR1+1</f>
        <v>2131</v>
      </c>
      <c r="DT1">
        <f t="shared" ref="DT1" si="105">DS1+1</f>
        <v>2132</v>
      </c>
      <c r="DU1">
        <f t="shared" ref="DU1" si="106">DT1+1</f>
        <v>2133</v>
      </c>
      <c r="DV1">
        <f t="shared" ref="DV1" si="107">DU1+1</f>
        <v>2134</v>
      </c>
    </row>
    <row r="2" spans="1:126" x14ac:dyDescent="0.35">
      <c r="B2" t="s">
        <v>12</v>
      </c>
      <c r="C2" s="1"/>
      <c r="D2" s="5">
        <v>27107</v>
      </c>
      <c r="E2" s="5">
        <v>23768</v>
      </c>
      <c r="F2" s="3"/>
      <c r="G2" s="5">
        <v>23366</v>
      </c>
      <c r="H2" s="5">
        <v>20815</v>
      </c>
      <c r="I2" s="5">
        <v>21073</v>
      </c>
      <c r="M2" s="1">
        <v>83966</v>
      </c>
      <c r="N2" s="1">
        <v>124474</v>
      </c>
      <c r="O2" s="1">
        <v>102409</v>
      </c>
      <c r="P2" s="1">
        <v>91416</v>
      </c>
    </row>
    <row r="3" spans="1:126" x14ac:dyDescent="0.35">
      <c r="B3" t="s">
        <v>13</v>
      </c>
      <c r="C3" s="1"/>
      <c r="D3" s="1">
        <v>12453</v>
      </c>
      <c r="E3" s="1">
        <v>11511</v>
      </c>
      <c r="G3" s="1">
        <v>11361</v>
      </c>
      <c r="H3" s="1">
        <v>10832</v>
      </c>
      <c r="I3" s="1">
        <v>10685</v>
      </c>
      <c r="M3" s="1">
        <v>43164</v>
      </c>
      <c r="N3" s="1">
        <v>59486</v>
      </c>
      <c r="O3" s="1">
        <v>48435</v>
      </c>
      <c r="P3" s="1">
        <v>45444</v>
      </c>
    </row>
    <row r="4" spans="1:126" x14ac:dyDescent="0.35">
      <c r="B4" t="s">
        <v>14</v>
      </c>
      <c r="C4" s="1"/>
      <c r="D4" s="1">
        <f>D2-D3</f>
        <v>14654</v>
      </c>
      <c r="E4" s="1">
        <f>E2-E3</f>
        <v>12257</v>
      </c>
      <c r="G4" s="1">
        <f>G2-G3</f>
        <v>12005</v>
      </c>
      <c r="H4" s="1">
        <f>H2-H3</f>
        <v>9983</v>
      </c>
      <c r="I4" s="1">
        <f>I2-I3</f>
        <v>10388</v>
      </c>
      <c r="M4" s="1">
        <f>M2-M3</f>
        <v>40802</v>
      </c>
      <c r="N4" s="1">
        <f>N2-N3</f>
        <v>64988</v>
      </c>
      <c r="O4" s="1">
        <f>O2-O3</f>
        <v>53974</v>
      </c>
      <c r="P4" s="1">
        <f>P2-P3</f>
        <v>45972</v>
      </c>
    </row>
    <row r="5" spans="1:126" x14ac:dyDescent="0.35">
      <c r="B5" t="s">
        <v>15</v>
      </c>
      <c r="C5" s="1"/>
      <c r="D5" s="1">
        <v>1329</v>
      </c>
      <c r="E5" s="1">
        <v>1333</v>
      </c>
      <c r="G5" s="1">
        <v>1193</v>
      </c>
      <c r="H5" s="1">
        <v>1080</v>
      </c>
      <c r="I5" s="1">
        <v>1090</v>
      </c>
      <c r="M5" s="1">
        <v>4229</v>
      </c>
      <c r="N5" s="1">
        <v>4931</v>
      </c>
      <c r="O5" s="1">
        <v>5038</v>
      </c>
      <c r="P5" s="1">
        <v>4874</v>
      </c>
    </row>
    <row r="6" spans="1:126" x14ac:dyDescent="0.35">
      <c r="B6" t="s">
        <v>16</v>
      </c>
      <c r="C6" s="1"/>
      <c r="D6" s="1">
        <v>454</v>
      </c>
      <c r="E6" s="1">
        <v>447</v>
      </c>
      <c r="G6" s="1">
        <v>409</v>
      </c>
      <c r="H6" s="1">
        <v>440</v>
      </c>
      <c r="I6" s="1">
        <v>444</v>
      </c>
      <c r="M6" s="1">
        <v>1176</v>
      </c>
      <c r="N6" s="1">
        <v>1332</v>
      </c>
      <c r="O6" s="1">
        <v>1594</v>
      </c>
      <c r="P6" s="1">
        <v>1845</v>
      </c>
    </row>
    <row r="7" spans="1:126" x14ac:dyDescent="0.35">
      <c r="B7" t="s">
        <v>18</v>
      </c>
      <c r="C7" s="1"/>
      <c r="D7" s="1">
        <v>154</v>
      </c>
      <c r="E7" s="1">
        <v>135</v>
      </c>
      <c r="G7" s="1">
        <v>406</v>
      </c>
      <c r="H7" s="1">
        <v>198</v>
      </c>
      <c r="I7" s="1">
        <v>313</v>
      </c>
      <c r="M7" s="1">
        <v>687</v>
      </c>
      <c r="N7" s="1">
        <v>887</v>
      </c>
      <c r="O7" s="1">
        <v>982</v>
      </c>
      <c r="P7" s="1">
        <v>913</v>
      </c>
    </row>
    <row r="8" spans="1:126" x14ac:dyDescent="0.35">
      <c r="B8" t="s">
        <v>17</v>
      </c>
      <c r="C8" s="1"/>
      <c r="D8" s="1">
        <v>214</v>
      </c>
      <c r="E8" s="1">
        <v>183</v>
      </c>
      <c r="G8" s="1">
        <v>195</v>
      </c>
      <c r="H8" s="1">
        <v>218</v>
      </c>
      <c r="I8" s="1">
        <v>202</v>
      </c>
      <c r="M8" s="1">
        <v>563</v>
      </c>
      <c r="N8" s="1">
        <v>792</v>
      </c>
      <c r="O8" s="1">
        <v>726</v>
      </c>
      <c r="P8" s="1">
        <v>789</v>
      </c>
    </row>
    <row r="9" spans="1:126" x14ac:dyDescent="0.35">
      <c r="B9" t="s">
        <v>19</v>
      </c>
      <c r="C9" s="1"/>
      <c r="D9" s="1">
        <v>247</v>
      </c>
      <c r="E9" s="1">
        <v>140</v>
      </c>
      <c r="G9" s="1">
        <v>55</v>
      </c>
      <c r="H9" s="1">
        <v>108</v>
      </c>
      <c r="I9" s="1">
        <v>123</v>
      </c>
      <c r="M9" s="1">
        <v>406</v>
      </c>
      <c r="N9" s="1">
        <v>439</v>
      </c>
      <c r="O9" s="1">
        <v>890</v>
      </c>
      <c r="P9" s="1">
        <v>1251</v>
      </c>
    </row>
    <row r="10" spans="1:126" x14ac:dyDescent="0.35">
      <c r="B10" t="s">
        <v>34</v>
      </c>
      <c r="C10" s="1"/>
      <c r="D10" s="1">
        <v>2198</v>
      </c>
      <c r="E10" s="1">
        <v>-9</v>
      </c>
      <c r="G10" s="1">
        <v>0</v>
      </c>
      <c r="H10" s="1">
        <v>1577</v>
      </c>
      <c r="I10" s="1">
        <v>50</v>
      </c>
      <c r="M10" s="1">
        <v>3190</v>
      </c>
      <c r="N10" s="1">
        <v>-1315</v>
      </c>
      <c r="O10" s="1">
        <v>2680</v>
      </c>
      <c r="P10" s="1">
        <v>1531</v>
      </c>
    </row>
    <row r="11" spans="1:126" x14ac:dyDescent="0.35">
      <c r="B11" t="s">
        <v>20</v>
      </c>
      <c r="C11" s="1"/>
      <c r="D11" s="1">
        <v>2036</v>
      </c>
      <c r="E11" s="1">
        <v>1044</v>
      </c>
      <c r="G11" s="1">
        <v>1347</v>
      </c>
      <c r="H11" s="1">
        <v>3575</v>
      </c>
      <c r="I11" s="1">
        <v>890</v>
      </c>
      <c r="M11" s="1">
        <v>653</v>
      </c>
      <c r="N11" s="1">
        <v>1822</v>
      </c>
      <c r="O11" s="1">
        <v>4031</v>
      </c>
      <c r="P11" s="1">
        <v>7893</v>
      </c>
    </row>
    <row r="12" spans="1:126" x14ac:dyDescent="0.35">
      <c r="B12" t="s">
        <v>21</v>
      </c>
      <c r="C12" s="1"/>
      <c r="D12" s="1">
        <f>D4-SUM(D5:D11)</f>
        <v>8022</v>
      </c>
      <c r="E12" s="1">
        <f>E4-SUM(E5:E11)</f>
        <v>8984</v>
      </c>
      <c r="G12" s="1">
        <f>G4-SUM(G5:G11)</f>
        <v>8400</v>
      </c>
      <c r="H12" s="1">
        <f>H4-SUM(H5:H11)</f>
        <v>2787</v>
      </c>
      <c r="I12" s="1">
        <f>I4-SUM(I5:I11)</f>
        <v>7276</v>
      </c>
      <c r="M12" s="1">
        <f>M4-M5-M6-M7-M8-M9+M10+M11</f>
        <v>37584</v>
      </c>
      <c r="N12" s="1">
        <f>N4-N5-N6-N7-N8-N9+N10+N11</f>
        <v>57114</v>
      </c>
      <c r="O12" s="1">
        <f>O4-SUM(O5:O11)</f>
        <v>38033</v>
      </c>
      <c r="P12" s="1">
        <f>P4-SUM(P5:P11)</f>
        <v>26876</v>
      </c>
    </row>
    <row r="13" spans="1:126" x14ac:dyDescent="0.35">
      <c r="B13" t="s">
        <v>22</v>
      </c>
      <c r="C13" s="1"/>
      <c r="D13" s="1">
        <v>588</v>
      </c>
      <c r="E13" s="1">
        <v>552</v>
      </c>
      <c r="G13" s="1">
        <v>491</v>
      </c>
      <c r="H13" s="1">
        <v>434</v>
      </c>
      <c r="I13" s="1">
        <v>297</v>
      </c>
      <c r="M13" s="1">
        <v>0</v>
      </c>
      <c r="N13" s="1">
        <v>0</v>
      </c>
      <c r="O13" s="1">
        <v>2169</v>
      </c>
      <c r="P13" s="1">
        <v>1954</v>
      </c>
    </row>
    <row r="14" spans="1:126" x14ac:dyDescent="0.35">
      <c r="B14" t="s">
        <v>23</v>
      </c>
      <c r="C14" s="1"/>
      <c r="D14" s="1">
        <v>1047</v>
      </c>
      <c r="E14" s="1">
        <v>1072</v>
      </c>
      <c r="G14" s="1">
        <v>881</v>
      </c>
      <c r="H14" s="1">
        <v>1072</v>
      </c>
      <c r="I14" s="1">
        <v>983</v>
      </c>
      <c r="M14" s="1">
        <v>0</v>
      </c>
      <c r="N14" s="1">
        <v>0</v>
      </c>
      <c r="O14" s="1">
        <v>3922</v>
      </c>
      <c r="P14" s="1">
        <v>5957</v>
      </c>
    </row>
    <row r="15" spans="1:126" x14ac:dyDescent="0.35">
      <c r="B15" t="s">
        <v>24</v>
      </c>
      <c r="C15" s="1"/>
      <c r="D15" s="1">
        <v>754</v>
      </c>
      <c r="E15" s="1">
        <v>-1419</v>
      </c>
      <c r="G15" s="1">
        <v>109</v>
      </c>
      <c r="H15" s="1">
        <v>-5380</v>
      </c>
      <c r="I15" s="1">
        <v>2434</v>
      </c>
      <c r="M15" s="1">
        <v>0</v>
      </c>
      <c r="N15" s="1">
        <v>0</v>
      </c>
      <c r="O15" s="1">
        <v>-580</v>
      </c>
      <c r="P15" s="1">
        <v>-11104</v>
      </c>
    </row>
    <row r="16" spans="1:126" x14ac:dyDescent="0.35">
      <c r="B16" t="s">
        <v>25</v>
      </c>
      <c r="C16" s="1"/>
      <c r="D16" s="1">
        <f>D13-D14+D15</f>
        <v>295</v>
      </c>
      <c r="E16" s="1">
        <f>E13-E14+E15</f>
        <v>-1939</v>
      </c>
      <c r="G16" s="1">
        <f>G13-G14+G15</f>
        <v>-281</v>
      </c>
      <c r="H16" s="1">
        <f>H13-H14+H15</f>
        <v>-6018</v>
      </c>
      <c r="I16" s="1">
        <f>I13-I14+I15</f>
        <v>1748</v>
      </c>
      <c r="M16" s="1">
        <v>-10966</v>
      </c>
      <c r="N16" s="1">
        <v>-3840</v>
      </c>
      <c r="O16" s="1">
        <f>O13-O14+O15</f>
        <v>-2333</v>
      </c>
      <c r="P16" s="1">
        <f>P13-P14+P15</f>
        <v>-15107</v>
      </c>
    </row>
    <row r="17" spans="2:126" x14ac:dyDescent="0.35">
      <c r="B17" t="s">
        <v>26</v>
      </c>
      <c r="C17" s="1"/>
      <c r="D17" s="1">
        <v>-69</v>
      </c>
      <c r="E17" s="1">
        <v>-93</v>
      </c>
      <c r="G17" s="1">
        <v>-23</v>
      </c>
      <c r="H17" s="1">
        <v>-323</v>
      </c>
      <c r="I17" s="1">
        <v>82</v>
      </c>
      <c r="M17" s="1">
        <v>1607</v>
      </c>
      <c r="N17" s="1">
        <v>251</v>
      </c>
      <c r="O17" s="1">
        <v>-304</v>
      </c>
      <c r="P17" s="1">
        <v>-627</v>
      </c>
    </row>
    <row r="18" spans="2:126" x14ac:dyDescent="0.35">
      <c r="B18" t="s">
        <v>27</v>
      </c>
      <c r="C18" s="1"/>
      <c r="D18" s="1">
        <f>D12+D16+D17</f>
        <v>8248</v>
      </c>
      <c r="E18" s="1">
        <f>E12+E16+E17</f>
        <v>6952</v>
      </c>
      <c r="G18" s="1">
        <f>G12+G16+G17</f>
        <v>8096</v>
      </c>
      <c r="H18" s="1">
        <f>H12+H16+H17</f>
        <v>-3554</v>
      </c>
      <c r="I18" s="1">
        <f>I12+I16+I17</f>
        <v>9106</v>
      </c>
      <c r="M18" s="1">
        <f>M12+M16+M17</f>
        <v>28225</v>
      </c>
      <c r="N18" s="1">
        <f>N12+N16+N17</f>
        <v>53525</v>
      </c>
      <c r="O18" s="1">
        <f>O12+O16+O17</f>
        <v>35396</v>
      </c>
      <c r="P18" s="1">
        <f>P12+P16+P17</f>
        <v>11142</v>
      </c>
    </row>
    <row r="19" spans="2:126" x14ac:dyDescent="0.35">
      <c r="B19" t="s">
        <v>28</v>
      </c>
      <c r="C19" s="1"/>
      <c r="D19" s="1">
        <v>-1966</v>
      </c>
      <c r="E19" s="1">
        <v>-2147</v>
      </c>
      <c r="G19" s="1">
        <v>-2205</v>
      </c>
      <c r="H19" s="1">
        <v>788</v>
      </c>
      <c r="I19" s="1">
        <v>-3111</v>
      </c>
      <c r="M19" s="1">
        <v>-8239</v>
      </c>
      <c r="N19" s="1">
        <v>-16770</v>
      </c>
      <c r="O19" s="1">
        <v>-10401</v>
      </c>
      <c r="P19" s="1">
        <v>-3537</v>
      </c>
    </row>
    <row r="20" spans="2:126" x14ac:dyDescent="0.35">
      <c r="B20" t="s">
        <v>29</v>
      </c>
      <c r="C20" s="5"/>
      <c r="D20" s="5">
        <f>D18+D19</f>
        <v>6282</v>
      </c>
      <c r="E20" s="5">
        <f>E18+E19</f>
        <v>4805</v>
      </c>
      <c r="F20" s="3"/>
      <c r="G20" s="5">
        <f>G18+G19</f>
        <v>5891</v>
      </c>
      <c r="H20" s="5">
        <f>H18+H19</f>
        <v>-2766</v>
      </c>
      <c r="I20" s="5">
        <f>I18+I19</f>
        <v>5995</v>
      </c>
      <c r="M20" s="1">
        <f>M18+M19</f>
        <v>19986</v>
      </c>
      <c r="N20" s="1">
        <f>N18+N19</f>
        <v>36755</v>
      </c>
      <c r="O20" s="1">
        <f>O18+O19</f>
        <v>24995</v>
      </c>
      <c r="P20" s="1">
        <f>P18+P19</f>
        <v>7605</v>
      </c>
      <c r="Q20" s="1">
        <f>P20*1</f>
        <v>7605</v>
      </c>
      <c r="R20" s="1">
        <f t="shared" ref="R20:CC20" si="108">Q20*1</f>
        <v>7605</v>
      </c>
      <c r="S20" s="1">
        <f t="shared" si="108"/>
        <v>7605</v>
      </c>
      <c r="T20" s="1">
        <f t="shared" si="108"/>
        <v>7605</v>
      </c>
      <c r="U20" s="1">
        <f t="shared" si="108"/>
        <v>7605</v>
      </c>
      <c r="V20" s="1">
        <f t="shared" si="108"/>
        <v>7605</v>
      </c>
      <c r="W20" s="1">
        <f>V20*0.98</f>
        <v>7452.9</v>
      </c>
      <c r="X20" s="1">
        <f t="shared" ref="X20:CI20" si="109">W20*0.98</f>
        <v>7303.8419999999996</v>
      </c>
      <c r="Y20" s="1">
        <f t="shared" si="109"/>
        <v>7157.7651599999999</v>
      </c>
      <c r="Z20" s="1">
        <f t="shared" si="109"/>
        <v>7014.6098567999998</v>
      </c>
      <c r="AA20" s="1">
        <f t="shared" si="109"/>
        <v>6874.3176596639996</v>
      </c>
      <c r="AB20" s="1">
        <f t="shared" si="109"/>
        <v>6736.8313064707199</v>
      </c>
      <c r="AC20" s="1">
        <f t="shared" si="109"/>
        <v>6602.0946803413053</v>
      </c>
      <c r="AD20" s="1">
        <f t="shared" si="109"/>
        <v>6470.052786734479</v>
      </c>
      <c r="AE20" s="1">
        <f t="shared" si="109"/>
        <v>6340.6517309997889</v>
      </c>
      <c r="AF20" s="1">
        <f t="shared" si="109"/>
        <v>6213.838696379793</v>
      </c>
      <c r="AG20" s="1">
        <f t="shared" si="109"/>
        <v>6089.561922452197</v>
      </c>
      <c r="AH20" s="1">
        <f t="shared" si="109"/>
        <v>5967.7706840031533</v>
      </c>
      <c r="AI20" s="1">
        <f t="shared" si="109"/>
        <v>5848.4152703230902</v>
      </c>
      <c r="AJ20" s="1">
        <f t="shared" si="109"/>
        <v>5731.4469649166285</v>
      </c>
      <c r="AK20" s="1">
        <f t="shared" si="109"/>
        <v>5616.8180256182959</v>
      </c>
      <c r="AL20" s="1">
        <f t="shared" si="109"/>
        <v>5504.48166510593</v>
      </c>
      <c r="AM20" s="1">
        <f t="shared" si="109"/>
        <v>5394.3920318038117</v>
      </c>
      <c r="AN20" s="1">
        <f t="shared" si="109"/>
        <v>5286.5041911677354</v>
      </c>
      <c r="AO20" s="1">
        <f t="shared" si="109"/>
        <v>5180.7741073443804</v>
      </c>
      <c r="AP20" s="1">
        <f t="shared" si="109"/>
        <v>5077.1586251974923</v>
      </c>
      <c r="AQ20" s="1">
        <f t="shared" si="109"/>
        <v>4975.6154526935425</v>
      </c>
      <c r="AR20" s="1">
        <f t="shared" si="109"/>
        <v>4876.1031436396715</v>
      </c>
      <c r="AS20" s="1">
        <f t="shared" si="109"/>
        <v>4778.5810807668777</v>
      </c>
      <c r="AT20" s="1">
        <f t="shared" si="109"/>
        <v>4683.0094591515399</v>
      </c>
      <c r="AU20" s="1">
        <f t="shared" si="109"/>
        <v>4589.3492699685094</v>
      </c>
      <c r="AV20" s="1">
        <f t="shared" si="109"/>
        <v>4497.5622845691387</v>
      </c>
      <c r="AW20" s="1">
        <f t="shared" si="109"/>
        <v>4407.6110388777561</v>
      </c>
      <c r="AX20" s="1">
        <f t="shared" si="109"/>
        <v>4319.4588181002009</v>
      </c>
      <c r="AY20" s="1">
        <f t="shared" si="109"/>
        <v>4233.0696417381969</v>
      </c>
      <c r="AZ20" s="1">
        <f t="shared" si="109"/>
        <v>4148.4082489034326</v>
      </c>
      <c r="BA20" s="1">
        <f t="shared" si="109"/>
        <v>4065.440083925364</v>
      </c>
      <c r="BB20" s="1">
        <f t="shared" si="109"/>
        <v>3984.1312822468567</v>
      </c>
      <c r="BC20" s="1">
        <f t="shared" si="109"/>
        <v>3904.4486566019195</v>
      </c>
      <c r="BD20" s="1">
        <f t="shared" si="109"/>
        <v>3826.359683469881</v>
      </c>
      <c r="BE20" s="1">
        <f t="shared" si="109"/>
        <v>3749.8324898004835</v>
      </c>
      <c r="BF20" s="1">
        <f t="shared" si="109"/>
        <v>3674.8358400044735</v>
      </c>
      <c r="BG20" s="1">
        <f t="shared" si="109"/>
        <v>3601.3391232043841</v>
      </c>
      <c r="BH20" s="1">
        <f t="shared" si="109"/>
        <v>3529.3123407402963</v>
      </c>
      <c r="BI20" s="1">
        <f t="shared" si="109"/>
        <v>3458.7260939254902</v>
      </c>
      <c r="BJ20" s="1">
        <f t="shared" si="109"/>
        <v>3389.5515720469803</v>
      </c>
      <c r="BK20" s="1">
        <f t="shared" si="109"/>
        <v>3321.7605406060406</v>
      </c>
      <c r="BL20" s="1">
        <f t="shared" si="109"/>
        <v>3255.32532979392</v>
      </c>
      <c r="BM20" s="1">
        <f t="shared" si="109"/>
        <v>3190.2188231980417</v>
      </c>
      <c r="BN20" s="1">
        <f t="shared" si="109"/>
        <v>3126.4144467340807</v>
      </c>
      <c r="BO20" s="1">
        <f t="shared" si="109"/>
        <v>3063.8861577993989</v>
      </c>
      <c r="BP20" s="1">
        <f t="shared" si="109"/>
        <v>3002.6084346434109</v>
      </c>
      <c r="BQ20" s="1">
        <f t="shared" si="109"/>
        <v>2942.5562659505426</v>
      </c>
      <c r="BR20" s="1">
        <f t="shared" si="109"/>
        <v>2883.7051406315318</v>
      </c>
      <c r="BS20" s="1">
        <f t="shared" si="109"/>
        <v>2826.031037818901</v>
      </c>
      <c r="BT20" s="1">
        <f t="shared" si="109"/>
        <v>2769.5104170625232</v>
      </c>
      <c r="BU20" s="1">
        <f t="shared" si="109"/>
        <v>2714.1202087212728</v>
      </c>
      <c r="BV20" s="1">
        <f t="shared" si="109"/>
        <v>2659.8378045468471</v>
      </c>
      <c r="BW20" s="1">
        <f t="shared" si="109"/>
        <v>2606.6410484559101</v>
      </c>
      <c r="BX20" s="1">
        <f t="shared" si="109"/>
        <v>2554.5082274867918</v>
      </c>
      <c r="BY20" s="1">
        <f t="shared" si="109"/>
        <v>2503.4180629370558</v>
      </c>
      <c r="BZ20" s="1">
        <f t="shared" si="109"/>
        <v>2453.3497016783144</v>
      </c>
      <c r="CA20" s="1">
        <f t="shared" si="109"/>
        <v>2404.2827076447479</v>
      </c>
      <c r="CB20" s="1">
        <f t="shared" si="109"/>
        <v>2356.1970534918528</v>
      </c>
      <c r="CC20" s="1">
        <f t="shared" si="109"/>
        <v>2309.0731124220156</v>
      </c>
      <c r="CD20" s="1">
        <f t="shared" si="109"/>
        <v>2262.8916501735753</v>
      </c>
      <c r="CE20" s="1">
        <f t="shared" si="109"/>
        <v>2217.6338171701036</v>
      </c>
      <c r="CF20" s="1">
        <f t="shared" si="109"/>
        <v>2173.2811408267016</v>
      </c>
      <c r="CG20" s="1">
        <f t="shared" si="109"/>
        <v>2129.8155180101676</v>
      </c>
      <c r="CH20" s="1">
        <f t="shared" si="109"/>
        <v>2087.2192076499641</v>
      </c>
      <c r="CI20" s="1">
        <f t="shared" si="109"/>
        <v>2045.4748234969647</v>
      </c>
      <c r="CJ20" s="1">
        <f t="shared" ref="CJ20:DV20" si="110">CI20*0.98</f>
        <v>2004.5653270270254</v>
      </c>
      <c r="CK20" s="1">
        <f t="shared" si="110"/>
        <v>1964.474020486485</v>
      </c>
      <c r="CL20" s="1">
        <f t="shared" si="110"/>
        <v>1925.1845400767552</v>
      </c>
      <c r="CM20" s="1">
        <f t="shared" si="110"/>
        <v>1886.68084927522</v>
      </c>
      <c r="CN20" s="1">
        <f t="shared" si="110"/>
        <v>1848.9472322897157</v>
      </c>
      <c r="CO20" s="1">
        <f t="shared" si="110"/>
        <v>1811.9682876439213</v>
      </c>
      <c r="CP20" s="1">
        <f t="shared" si="110"/>
        <v>1775.7289218910428</v>
      </c>
      <c r="CQ20" s="1">
        <f t="shared" si="110"/>
        <v>1740.214343453222</v>
      </c>
      <c r="CR20" s="1">
        <f t="shared" si="110"/>
        <v>1705.4100565841575</v>
      </c>
      <c r="CS20" s="1">
        <f t="shared" si="110"/>
        <v>1671.3018554524742</v>
      </c>
      <c r="CT20" s="1">
        <f t="shared" si="110"/>
        <v>1637.8758183434247</v>
      </c>
      <c r="CU20" s="1">
        <f t="shared" si="110"/>
        <v>1605.1183019765563</v>
      </c>
      <c r="CV20" s="1">
        <f t="shared" si="110"/>
        <v>1573.015935937025</v>
      </c>
      <c r="CW20" s="1">
        <f t="shared" si="110"/>
        <v>1541.5556172182844</v>
      </c>
      <c r="CX20" s="1">
        <f t="shared" si="110"/>
        <v>1510.7245048739187</v>
      </c>
      <c r="CY20" s="1">
        <f t="shared" si="110"/>
        <v>1480.5100147764404</v>
      </c>
      <c r="CZ20" s="1">
        <f t="shared" si="110"/>
        <v>1450.8998144809116</v>
      </c>
      <c r="DA20" s="1">
        <f t="shared" si="110"/>
        <v>1421.8818181912934</v>
      </c>
      <c r="DB20" s="1">
        <f t="shared" si="110"/>
        <v>1393.4441818274674</v>
      </c>
      <c r="DC20" s="1">
        <f t="shared" si="110"/>
        <v>1365.5752981909181</v>
      </c>
      <c r="DD20" s="1">
        <f t="shared" si="110"/>
        <v>1338.2637922270997</v>
      </c>
      <c r="DE20" s="1">
        <f t="shared" si="110"/>
        <v>1311.4985163825577</v>
      </c>
      <c r="DF20" s="1">
        <f t="shared" si="110"/>
        <v>1285.2685460549064</v>
      </c>
      <c r="DG20" s="1">
        <f t="shared" si="110"/>
        <v>1259.5631751338083</v>
      </c>
      <c r="DH20" s="1">
        <f t="shared" si="110"/>
        <v>1234.371911631132</v>
      </c>
      <c r="DI20" s="1">
        <f t="shared" si="110"/>
        <v>1209.6844733985092</v>
      </c>
      <c r="DJ20" s="1">
        <f t="shared" si="110"/>
        <v>1185.490783930539</v>
      </c>
      <c r="DK20" s="1">
        <f t="shared" si="110"/>
        <v>1161.7809682519282</v>
      </c>
      <c r="DL20" s="1">
        <f t="shared" si="110"/>
        <v>1138.5453488868898</v>
      </c>
      <c r="DM20" s="1">
        <f t="shared" si="110"/>
        <v>1115.7744419091518</v>
      </c>
      <c r="DN20" s="1">
        <f t="shared" si="110"/>
        <v>1093.4589530709688</v>
      </c>
      <c r="DO20" s="1">
        <f t="shared" si="110"/>
        <v>1071.5897740095495</v>
      </c>
      <c r="DP20" s="1">
        <f t="shared" si="110"/>
        <v>1050.1579785293584</v>
      </c>
      <c r="DQ20" s="1">
        <f t="shared" si="110"/>
        <v>1029.1548189587711</v>
      </c>
      <c r="DR20" s="1">
        <f t="shared" si="110"/>
        <v>1008.5717225795956</v>
      </c>
      <c r="DS20" s="1">
        <f t="shared" si="110"/>
        <v>988.40028812800369</v>
      </c>
      <c r="DT20" s="1">
        <f t="shared" si="110"/>
        <v>968.63228236544364</v>
      </c>
      <c r="DU20" s="1">
        <f t="shared" si="110"/>
        <v>949.25963671813474</v>
      </c>
      <c r="DV20" s="1">
        <f t="shared" si="110"/>
        <v>930.27444398377202</v>
      </c>
    </row>
    <row r="21" spans="2:126" x14ac:dyDescent="0.35">
      <c r="B21" t="s">
        <v>30</v>
      </c>
      <c r="C21" s="1"/>
      <c r="D21" s="1">
        <v>6259</v>
      </c>
      <c r="E21" s="1">
        <v>5974</v>
      </c>
      <c r="G21" s="1">
        <v>5870</v>
      </c>
      <c r="H21" s="1">
        <v>-2780</v>
      </c>
      <c r="I21" s="1">
        <v>5974</v>
      </c>
    </row>
    <row r="22" spans="2:126" x14ac:dyDescent="0.35">
      <c r="B22" t="s">
        <v>31</v>
      </c>
      <c r="C22" s="1"/>
      <c r="D22" s="1">
        <v>23</v>
      </c>
      <c r="E22" s="1">
        <v>21</v>
      </c>
      <c r="G22" s="1">
        <v>21</v>
      </c>
      <c r="H22" s="1">
        <v>14</v>
      </c>
      <c r="I22" s="1">
        <v>21</v>
      </c>
    </row>
    <row r="23" spans="2:126" x14ac:dyDescent="0.35">
      <c r="B23" t="s">
        <v>46</v>
      </c>
      <c r="H23" s="1">
        <f>H20-H15</f>
        <v>2614</v>
      </c>
    </row>
    <row r="24" spans="2:126" x14ac:dyDescent="0.35">
      <c r="B24" t="s">
        <v>35</v>
      </c>
      <c r="I24" s="4">
        <f>I2/H2-1</f>
        <v>1.2394907518616272E-2</v>
      </c>
      <c r="N24" s="4">
        <f t="shared" ref="N24:O24" si="111">N2/M2-1</f>
        <v>0.48243336588619212</v>
      </c>
      <c r="O24" s="4">
        <f t="shared" si="111"/>
        <v>-0.17726593505471022</v>
      </c>
      <c r="P24" s="4">
        <f>P2/O2-1</f>
        <v>-0.1073440810866233</v>
      </c>
    </row>
    <row r="29" spans="2:126" x14ac:dyDescent="0.35">
      <c r="B29" t="s">
        <v>36</v>
      </c>
      <c r="C29" s="1">
        <v>9386</v>
      </c>
      <c r="D29" s="1"/>
      <c r="E29" s="1">
        <v>9386</v>
      </c>
      <c r="F29" s="1"/>
      <c r="G29" s="1"/>
      <c r="H29" s="1">
        <v>8204</v>
      </c>
      <c r="I29" s="1">
        <v>8498</v>
      </c>
    </row>
    <row r="30" spans="2:126" x14ac:dyDescent="0.35">
      <c r="B30" t="s">
        <v>37</v>
      </c>
      <c r="C30" s="1">
        <v>3962</v>
      </c>
      <c r="D30" s="1"/>
      <c r="E30" s="1">
        <v>3962</v>
      </c>
      <c r="F30" s="1"/>
      <c r="G30" s="1"/>
      <c r="H30" s="1">
        <f>4429+9</f>
        <v>4438</v>
      </c>
      <c r="I30" s="1">
        <f>2838+1</f>
        <v>2839</v>
      </c>
    </row>
    <row r="31" spans="2:126" x14ac:dyDescent="0.35">
      <c r="B31" t="s">
        <v>38</v>
      </c>
      <c r="C31" s="1">
        <f>C29-C30</f>
        <v>5424</v>
      </c>
      <c r="D31" s="1"/>
      <c r="E31" s="1">
        <f>E29-E30</f>
        <v>5424</v>
      </c>
      <c r="F31" s="1"/>
      <c r="G31" s="1"/>
      <c r="H31" s="1">
        <f t="shared" ref="H31:I31" si="112">H29-H30</f>
        <v>3766</v>
      </c>
      <c r="I31" s="1">
        <f t="shared" si="112"/>
        <v>5659</v>
      </c>
    </row>
    <row r="34" spans="16:17" x14ac:dyDescent="0.35">
      <c r="P34" t="s">
        <v>41</v>
      </c>
      <c r="Q34" s="6">
        <v>0</v>
      </c>
    </row>
    <row r="35" spans="16:17" x14ac:dyDescent="0.35">
      <c r="P35" t="s">
        <v>42</v>
      </c>
      <c r="Q35" s="6">
        <v>0.1</v>
      </c>
    </row>
    <row r="36" spans="16:17" x14ac:dyDescent="0.35">
      <c r="P36" t="s">
        <v>43</v>
      </c>
      <c r="Q36" s="7">
        <f>NPV(Q35,I20:BX20)</f>
        <v>113667.72133299812</v>
      </c>
    </row>
    <row r="37" spans="16:17" x14ac:dyDescent="0.35">
      <c r="Q37" s="7">
        <f>Q36/main!Q5</f>
        <v>30.721005765675166</v>
      </c>
    </row>
    <row r="38" spans="16:17" x14ac:dyDescent="0.35">
      <c r="Q38">
        <v>11</v>
      </c>
    </row>
    <row r="39" spans="16:17" x14ac:dyDescent="0.35">
      <c r="Q39" s="8">
        <f>Q37/Q38-1</f>
        <v>1.7928187059704697</v>
      </c>
    </row>
  </sheetData>
  <hyperlinks>
    <hyperlink ref="A1" location="main!A1" display="main" xr:uid="{D534A81D-3761-4B47-AFCD-9E3C9F16ADB5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2025-05-28T22:24:07Z</dcterms:modified>
</cp:coreProperties>
</file>