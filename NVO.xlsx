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9E80D835-55C8-4EFD-B98F-B5051AB5F401}" xr6:coauthVersionLast="47" xr6:coauthVersionMax="47" xr10:uidLastSave="{00000000-0000-0000-0000-000000000000}"/>
  <bookViews>
    <workbookView xWindow="10060" yWindow="5840" windowWidth="25250" windowHeight="12820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" l="1"/>
  <c r="I20" i="2"/>
  <c r="H20" i="2"/>
  <c r="G20" i="2"/>
  <c r="F20" i="2"/>
  <c r="J19" i="2"/>
  <c r="I19" i="2"/>
  <c r="H19" i="2"/>
  <c r="G19" i="2"/>
  <c r="F19" i="2"/>
  <c r="E20" i="2"/>
  <c r="E19" i="2"/>
  <c r="J23" i="2"/>
  <c r="I23" i="2"/>
  <c r="H23" i="2"/>
  <c r="G23" i="2"/>
  <c r="F23" i="2"/>
  <c r="J5" i="2"/>
  <c r="J10" i="2" s="1"/>
  <c r="J13" i="2" s="1"/>
  <c r="J15" i="2" s="1"/>
  <c r="I5" i="2"/>
  <c r="I10" i="2" s="1"/>
  <c r="I13" i="2" s="1"/>
  <c r="I15" i="2" s="1"/>
  <c r="H5" i="2"/>
  <c r="H10" i="2" s="1"/>
  <c r="H13" i="2" s="1"/>
  <c r="H15" i="2" s="1"/>
  <c r="G5" i="2"/>
  <c r="G10" i="2" s="1"/>
  <c r="G13" i="2" s="1"/>
  <c r="G15" i="2" s="1"/>
  <c r="F5" i="2"/>
  <c r="F10" i="2" s="1"/>
  <c r="F13" i="2" s="1"/>
  <c r="F15" i="2" s="1"/>
  <c r="E5" i="2"/>
  <c r="E10" i="2" s="1"/>
  <c r="E13" i="2" s="1"/>
  <c r="E15" i="2" s="1"/>
  <c r="M7" i="1"/>
  <c r="M4" i="1"/>
  <c r="F24" i="2" l="1"/>
  <c r="H24" i="2"/>
  <c r="I24" i="2"/>
  <c r="G24" i="2"/>
  <c r="J24" i="2"/>
</calcChain>
</file>

<file path=xl/sharedStrings.xml><?xml version="1.0" encoding="utf-8"?>
<sst xmlns="http://schemas.openxmlformats.org/spreadsheetml/2006/main" count="114" uniqueCount="71">
  <si>
    <t>Price</t>
  </si>
  <si>
    <t>Shares</t>
  </si>
  <si>
    <t>MC</t>
  </si>
  <si>
    <t>Cash</t>
  </si>
  <si>
    <t>Debt</t>
  </si>
  <si>
    <t>EV</t>
  </si>
  <si>
    <t>Q225</t>
  </si>
  <si>
    <t>USD/DDK</t>
  </si>
  <si>
    <t>m</t>
  </si>
  <si>
    <t>Name</t>
  </si>
  <si>
    <t>MOA</t>
  </si>
  <si>
    <t>Indication</t>
  </si>
  <si>
    <t>Economics</t>
  </si>
  <si>
    <t>Approved</t>
  </si>
  <si>
    <t>Phase</t>
  </si>
  <si>
    <t>Main</t>
  </si>
  <si>
    <t>Net sales</t>
  </si>
  <si>
    <t>Sales and distribution costs</t>
  </si>
  <si>
    <t>R&amp;D</t>
  </si>
  <si>
    <t>SG&amp;A</t>
  </si>
  <si>
    <t>Other operating income and expenses</t>
  </si>
  <si>
    <t>Operating Profit</t>
  </si>
  <si>
    <t>Financial income</t>
  </si>
  <si>
    <t>Financial expenses</t>
  </si>
  <si>
    <t>Profit before income taxes</t>
  </si>
  <si>
    <t>Income taxes</t>
  </si>
  <si>
    <t>Net profit</t>
  </si>
  <si>
    <t>Q125</t>
  </si>
  <si>
    <t>Q324</t>
  </si>
  <si>
    <t>Q424</t>
  </si>
  <si>
    <t>Q224</t>
  </si>
  <si>
    <t>Q124</t>
  </si>
  <si>
    <t>COGS</t>
  </si>
  <si>
    <t>net profit y/y</t>
  </si>
  <si>
    <t>revenue y/y</t>
  </si>
  <si>
    <t>gross margin</t>
  </si>
  <si>
    <t>ni margin</t>
  </si>
  <si>
    <t>Gross profit</t>
  </si>
  <si>
    <t>NN1535</t>
  </si>
  <si>
    <t>T2D</t>
  </si>
  <si>
    <t>NN1436</t>
  </si>
  <si>
    <t>T1D and T2D</t>
  </si>
  <si>
    <t>filed</t>
  </si>
  <si>
    <t>NN9388</t>
  </si>
  <si>
    <t>III</t>
  </si>
  <si>
    <t>NN9506</t>
  </si>
  <si>
    <t>NN9490</t>
  </si>
  <si>
    <t>NN1471</t>
  </si>
  <si>
    <t>T1D</t>
  </si>
  <si>
    <t>II</t>
  </si>
  <si>
    <t>I</t>
  </si>
  <si>
    <t>NN9041</t>
  </si>
  <si>
    <t>NN9904</t>
  </si>
  <si>
    <t>NN1644</t>
  </si>
  <si>
    <t>NN9932</t>
  </si>
  <si>
    <t>Obesity</t>
  </si>
  <si>
    <t>NN9536</t>
  </si>
  <si>
    <t>NN9838</t>
  </si>
  <si>
    <t>NN9505</t>
  </si>
  <si>
    <t>NN9440</t>
  </si>
  <si>
    <t>NN9833</t>
  </si>
  <si>
    <t>NN9487</t>
  </si>
  <si>
    <t>NN9441</t>
  </si>
  <si>
    <t>NN9542</t>
  </si>
  <si>
    <t>NN9662</t>
  </si>
  <si>
    <t>NN9638</t>
  </si>
  <si>
    <t>Haemophilia A w/wo inhibitors</t>
  </si>
  <si>
    <t>Sickle cell disease</t>
  </si>
  <si>
    <t>Thalassemia</t>
  </si>
  <si>
    <t>Sicklecell disease</t>
  </si>
  <si>
    <t>Hereditary haemochromatosis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</si>
</sst>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0" xfId="1"/>
    <xf numFmtId="3" fontId="0" fillId="0" borderId="0" xfId="0" applyNumberFormat="1"/>
    <xf numFmtId="0" fontId="1" fillId="0" borderId="0" xfId="0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443624</xdr:colOff>
      <xdr:row>1</xdr:row>
      <xdr:rowOff>36348</xdr:rowOff>
    </xdr:from>
    <xdr:to>
      <xdr:col>34</xdr:col>
      <xdr:colOff>70613</xdr:colOff>
      <xdr:row>44</xdr:row>
      <xdr:rowOff>11354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495616-17DC-2F85-D907-178D5EB32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2900" y="220279"/>
          <a:ext cx="14845093" cy="7884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7"/>
  <sheetViews>
    <sheetView zoomScale="130" zoomScaleNormal="130" workbookViewId="0">
      <selection activeCell="C3" sqref="C3"/>
    </sheetView>
  </sheetViews>
  <sheetFormatPr defaultRowHeight="14.5" x14ac:dyDescent="0.35"/>
  <cols>
    <col min="3" max="3" width="27" bestFit="1" customWidth="1"/>
    <col min="4" max="4" width="18.453125" customWidth="1"/>
    <col min="5" max="5" width="9.6328125" bestFit="1" customWidth="1"/>
  </cols>
  <sheetData>
    <row r="2" spans="2:17" x14ac:dyDescent="0.35">
      <c r="B2" s="1" t="s">
        <v>9</v>
      </c>
      <c r="C2" s="1" t="s">
        <v>11</v>
      </c>
      <c r="D2" s="1" t="s">
        <v>10</v>
      </c>
      <c r="E2" s="1" t="s">
        <v>12</v>
      </c>
      <c r="F2" s="1" t="s">
        <v>13</v>
      </c>
      <c r="L2" t="s">
        <v>0</v>
      </c>
      <c r="M2">
        <v>60.95</v>
      </c>
    </row>
    <row r="3" spans="2:17" x14ac:dyDescent="0.35">
      <c r="L3" t="s">
        <v>1</v>
      </c>
      <c r="M3">
        <v>3.4</v>
      </c>
      <c r="N3" t="s">
        <v>6</v>
      </c>
      <c r="P3" t="s">
        <v>7</v>
      </c>
      <c r="Q3">
        <v>6.25</v>
      </c>
    </row>
    <row r="4" spans="2:17" x14ac:dyDescent="0.35">
      <c r="L4" t="s">
        <v>2</v>
      </c>
      <c r="M4">
        <f>M2*M3</f>
        <v>207.23000000000002</v>
      </c>
    </row>
    <row r="5" spans="2:17" x14ac:dyDescent="0.35">
      <c r="L5" t="s">
        <v>3</v>
      </c>
      <c r="M5">
        <v>4</v>
      </c>
      <c r="N5" t="s">
        <v>6</v>
      </c>
      <c r="Q5" t="s">
        <v>8</v>
      </c>
    </row>
    <row r="6" spans="2:17" x14ac:dyDescent="0.35">
      <c r="L6" t="s">
        <v>4</v>
      </c>
      <c r="M6">
        <v>16</v>
      </c>
      <c r="N6" t="s">
        <v>6</v>
      </c>
    </row>
    <row r="7" spans="2:17" x14ac:dyDescent="0.35">
      <c r="L7" t="s">
        <v>5</v>
      </c>
      <c r="M7">
        <f>M4-M5+M6</f>
        <v>219.23000000000002</v>
      </c>
      <c r="N7" t="s">
        <v>6</v>
      </c>
    </row>
    <row r="11" spans="2:17" x14ac:dyDescent="0.35">
      <c r="E11" s="1"/>
      <c r="F11" s="1" t="s">
        <v>14</v>
      </c>
    </row>
    <row r="12" spans="2:17" x14ac:dyDescent="0.35">
      <c r="B12" t="s">
        <v>38</v>
      </c>
      <c r="C12" t="s">
        <v>39</v>
      </c>
      <c r="F12" t="s">
        <v>42</v>
      </c>
    </row>
    <row r="13" spans="2:17" x14ac:dyDescent="0.35">
      <c r="B13" t="s">
        <v>40</v>
      </c>
      <c r="C13" t="s">
        <v>41</v>
      </c>
      <c r="F13" t="s">
        <v>42</v>
      </c>
    </row>
    <row r="14" spans="2:17" x14ac:dyDescent="0.35">
      <c r="B14" t="s">
        <v>43</v>
      </c>
      <c r="C14" t="s">
        <v>39</v>
      </c>
      <c r="F14" t="s">
        <v>44</v>
      </c>
    </row>
    <row r="15" spans="2:17" x14ac:dyDescent="0.35">
      <c r="B15" t="s">
        <v>45</v>
      </c>
      <c r="C15" t="s">
        <v>39</v>
      </c>
      <c r="F15" t="s">
        <v>49</v>
      </c>
    </row>
    <row r="16" spans="2:17" x14ac:dyDescent="0.35">
      <c r="B16" t="s">
        <v>46</v>
      </c>
      <c r="C16" t="s">
        <v>39</v>
      </c>
      <c r="F16" t="s">
        <v>49</v>
      </c>
    </row>
    <row r="17" spans="2:6" x14ac:dyDescent="0.35">
      <c r="B17" t="s">
        <v>47</v>
      </c>
      <c r="C17" t="s">
        <v>48</v>
      </c>
      <c r="F17" t="s">
        <v>50</v>
      </c>
    </row>
    <row r="18" spans="2:6" x14ac:dyDescent="0.35">
      <c r="B18" t="s">
        <v>51</v>
      </c>
      <c r="C18" t="s">
        <v>48</v>
      </c>
      <c r="F18" t="s">
        <v>50</v>
      </c>
    </row>
    <row r="19" spans="2:6" x14ac:dyDescent="0.35">
      <c r="B19" t="s">
        <v>52</v>
      </c>
      <c r="C19" t="s">
        <v>39</v>
      </c>
      <c r="F19" t="s">
        <v>50</v>
      </c>
    </row>
    <row r="20" spans="2:6" x14ac:dyDescent="0.35">
      <c r="B20" t="s">
        <v>53</v>
      </c>
      <c r="C20" t="s">
        <v>48</v>
      </c>
      <c r="F20" t="s">
        <v>50</v>
      </c>
    </row>
    <row r="21" spans="2:6" x14ac:dyDescent="0.35">
      <c r="B21" t="s">
        <v>54</v>
      </c>
      <c r="C21" t="s">
        <v>55</v>
      </c>
      <c r="F21" t="s">
        <v>44</v>
      </c>
    </row>
    <row r="22" spans="2:6" x14ac:dyDescent="0.35">
      <c r="B22" t="s">
        <v>56</v>
      </c>
      <c r="C22" t="s">
        <v>55</v>
      </c>
      <c r="F22" t="s">
        <v>44</v>
      </c>
    </row>
    <row r="23" spans="2:6" x14ac:dyDescent="0.35">
      <c r="B23" t="s">
        <v>57</v>
      </c>
      <c r="C23" t="s">
        <v>55</v>
      </c>
      <c r="F23" t="s">
        <v>44</v>
      </c>
    </row>
    <row r="24" spans="2:6" x14ac:dyDescent="0.35">
      <c r="B24" t="s">
        <v>58</v>
      </c>
      <c r="C24" t="s">
        <v>55</v>
      </c>
      <c r="F24" t="s">
        <v>49</v>
      </c>
    </row>
    <row r="25" spans="2:6" x14ac:dyDescent="0.35">
      <c r="B25" t="s">
        <v>59</v>
      </c>
      <c r="C25" t="s">
        <v>55</v>
      </c>
      <c r="F25" t="s">
        <v>49</v>
      </c>
    </row>
    <row r="26" spans="2:6" x14ac:dyDescent="0.35">
      <c r="B26" t="s">
        <v>60</v>
      </c>
      <c r="C26" t="s">
        <v>55</v>
      </c>
      <c r="F26" t="s">
        <v>49</v>
      </c>
    </row>
    <row r="27" spans="2:6" x14ac:dyDescent="0.35">
      <c r="B27" t="s">
        <v>61</v>
      </c>
      <c r="C27" t="s">
        <v>55</v>
      </c>
      <c r="F27" t="s">
        <v>49</v>
      </c>
    </row>
    <row r="28" spans="2:6" x14ac:dyDescent="0.35">
      <c r="B28" t="s">
        <v>62</v>
      </c>
      <c r="C28" t="s">
        <v>55</v>
      </c>
      <c r="F28" t="s">
        <v>50</v>
      </c>
    </row>
    <row r="29" spans="2:6" x14ac:dyDescent="0.35">
      <c r="B29" t="s">
        <v>63</v>
      </c>
      <c r="C29" t="s">
        <v>55</v>
      </c>
      <c r="F29" t="s">
        <v>49</v>
      </c>
    </row>
    <row r="30" spans="2:6" x14ac:dyDescent="0.35">
      <c r="B30" t="s">
        <v>64</v>
      </c>
      <c r="C30" t="s">
        <v>55</v>
      </c>
      <c r="F30" t="s">
        <v>50</v>
      </c>
    </row>
    <row r="31" spans="2:6" x14ac:dyDescent="0.35">
      <c r="B31" t="s">
        <v>65</v>
      </c>
      <c r="C31" t="s">
        <v>55</v>
      </c>
      <c r="F31" t="s">
        <v>50</v>
      </c>
    </row>
    <row r="32" spans="2:6" x14ac:dyDescent="0.35">
      <c r="C32" t="s">
        <v>66</v>
      </c>
      <c r="F32" t="s">
        <v>44</v>
      </c>
    </row>
    <row r="33" spans="3:6" x14ac:dyDescent="0.35">
      <c r="C33" t="s">
        <v>67</v>
      </c>
      <c r="F33" t="s">
        <v>44</v>
      </c>
    </row>
    <row r="34" spans="3:6" x14ac:dyDescent="0.35">
      <c r="C34" t="s">
        <v>68</v>
      </c>
      <c r="F34" t="s">
        <v>49</v>
      </c>
    </row>
    <row r="35" spans="3:6" x14ac:dyDescent="0.35">
      <c r="C35" t="s">
        <v>69</v>
      </c>
      <c r="F35" t="s">
        <v>49</v>
      </c>
    </row>
    <row r="36" spans="3:6" x14ac:dyDescent="0.35">
      <c r="C36" t="s">
        <v>70</v>
      </c>
      <c r="F36" t="s">
        <v>50</v>
      </c>
    </row>
    <row r="37" spans="3:6" x14ac:dyDescent="0.35">
      <c r="C37" t="s">
        <v>66</v>
      </c>
      <c r="F37" t="s">
        <v>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D6AA-32D9-4B14-8003-747825BECAB0}">
  <dimension ref="A1:J2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6" sqref="B6"/>
    </sheetView>
  </sheetViews>
  <sheetFormatPr defaultRowHeight="14.5" x14ac:dyDescent="0.35"/>
  <cols>
    <col min="1" max="1" width="5.08984375" bestFit="1" customWidth="1"/>
    <col min="2" max="2" width="32.90625" bestFit="1" customWidth="1"/>
  </cols>
  <sheetData>
    <row r="1" spans="1:10" x14ac:dyDescent="0.35">
      <c r="A1" s="2" t="s">
        <v>15</v>
      </c>
    </row>
    <row r="2" spans="1:10" x14ac:dyDescent="0.35">
      <c r="E2" t="s">
        <v>31</v>
      </c>
      <c r="F2" t="s">
        <v>30</v>
      </c>
      <c r="G2" t="s">
        <v>28</v>
      </c>
      <c r="H2" t="s">
        <v>29</v>
      </c>
      <c r="I2" t="s">
        <v>27</v>
      </c>
      <c r="J2" t="s">
        <v>6</v>
      </c>
    </row>
    <row r="3" spans="1:10" x14ac:dyDescent="0.35">
      <c r="B3" t="s">
        <v>16</v>
      </c>
      <c r="E3" s="3">
        <v>65349</v>
      </c>
      <c r="F3" s="3">
        <v>68060</v>
      </c>
      <c r="G3" s="3">
        <v>71311</v>
      </c>
      <c r="H3" s="3">
        <v>85683</v>
      </c>
      <c r="I3" s="3">
        <v>78087</v>
      </c>
      <c r="J3" s="3">
        <v>76857</v>
      </c>
    </row>
    <row r="4" spans="1:10" x14ac:dyDescent="0.35">
      <c r="B4" t="s">
        <v>32</v>
      </c>
      <c r="E4" s="3">
        <v>9916</v>
      </c>
      <c r="F4" s="3">
        <v>10274</v>
      </c>
      <c r="G4" s="3">
        <v>11308</v>
      </c>
      <c r="H4" s="3">
        <v>13024</v>
      </c>
      <c r="I4" s="3">
        <v>12890</v>
      </c>
      <c r="J4" s="3">
        <v>12846</v>
      </c>
    </row>
    <row r="5" spans="1:10" x14ac:dyDescent="0.35">
      <c r="B5" t="s">
        <v>37</v>
      </c>
      <c r="E5" s="3">
        <f>E3-E4</f>
        <v>55433</v>
      </c>
      <c r="F5" s="3">
        <f t="shared" ref="F5:J5" si="0">F3-F4</f>
        <v>57786</v>
      </c>
      <c r="G5" s="3">
        <f t="shared" si="0"/>
        <v>60003</v>
      </c>
      <c r="H5" s="3">
        <f t="shared" si="0"/>
        <v>72659</v>
      </c>
      <c r="I5" s="3">
        <f t="shared" si="0"/>
        <v>65197</v>
      </c>
      <c r="J5" s="3">
        <f t="shared" si="0"/>
        <v>64011</v>
      </c>
    </row>
    <row r="6" spans="1:10" x14ac:dyDescent="0.35">
      <c r="B6" t="s">
        <v>17</v>
      </c>
      <c r="E6" s="3">
        <v>13256</v>
      </c>
      <c r="F6" s="3">
        <v>14934</v>
      </c>
      <c r="G6" s="3">
        <v>15210</v>
      </c>
      <c r="H6" s="3">
        <v>18701</v>
      </c>
      <c r="I6" s="3">
        <v>14892</v>
      </c>
      <c r="J6" s="3">
        <v>17533</v>
      </c>
    </row>
    <row r="7" spans="1:10" x14ac:dyDescent="0.35">
      <c r="B7" t="s">
        <v>18</v>
      </c>
      <c r="E7" s="3">
        <v>8606</v>
      </c>
      <c r="F7" s="3">
        <v>16166</v>
      </c>
      <c r="G7" s="3">
        <v>9488</v>
      </c>
      <c r="H7" s="3">
        <v>13802</v>
      </c>
      <c r="I7" s="3">
        <v>10308</v>
      </c>
      <c r="J7" s="3">
        <v>11690</v>
      </c>
    </row>
    <row r="8" spans="1:10" x14ac:dyDescent="0.35">
      <c r="B8" t="s">
        <v>19</v>
      </c>
      <c r="E8" s="3">
        <v>1157</v>
      </c>
      <c r="F8" s="3">
        <v>1157</v>
      </c>
      <c r="G8" s="3">
        <v>1382</v>
      </c>
      <c r="H8" s="3">
        <v>1580</v>
      </c>
      <c r="I8" s="3">
        <v>1220</v>
      </c>
      <c r="J8" s="3">
        <v>1316</v>
      </c>
    </row>
    <row r="9" spans="1:10" x14ac:dyDescent="0.35">
      <c r="B9" t="s">
        <v>20</v>
      </c>
      <c r="E9" s="3">
        <v>-568</v>
      </c>
      <c r="F9" s="3">
        <v>405</v>
      </c>
      <c r="G9" s="3">
        <v>-101</v>
      </c>
      <c r="H9" s="3">
        <v>-1839</v>
      </c>
      <c r="I9" s="3">
        <v>14</v>
      </c>
      <c r="J9" s="3">
        <v>-23</v>
      </c>
    </row>
    <row r="10" spans="1:10" x14ac:dyDescent="0.35">
      <c r="B10" t="s">
        <v>21</v>
      </c>
      <c r="E10" s="3">
        <f t="shared" ref="E10:I10" si="1">E5-E6-E7-E8+E9</f>
        <v>31846</v>
      </c>
      <c r="F10" s="3">
        <f t="shared" si="1"/>
        <v>25934</v>
      </c>
      <c r="G10" s="3">
        <f t="shared" si="1"/>
        <v>33822</v>
      </c>
      <c r="H10" s="3">
        <f t="shared" si="1"/>
        <v>36737</v>
      </c>
      <c r="I10" s="3">
        <f t="shared" si="1"/>
        <v>38791</v>
      </c>
      <c r="J10" s="3">
        <f>J5-J6-J7-J8+J9</f>
        <v>33449</v>
      </c>
    </row>
    <row r="11" spans="1:10" x14ac:dyDescent="0.35">
      <c r="B11" t="s">
        <v>22</v>
      </c>
      <c r="E11" s="3">
        <v>2146</v>
      </c>
      <c r="F11" s="3">
        <v>960</v>
      </c>
      <c r="G11" s="3">
        <v>1383</v>
      </c>
      <c r="H11" s="3">
        <v>3913</v>
      </c>
      <c r="I11" s="3">
        <v>3425</v>
      </c>
      <c r="J11" s="3">
        <v>5314</v>
      </c>
    </row>
    <row r="12" spans="1:10" x14ac:dyDescent="0.35">
      <c r="B12" t="s">
        <v>23</v>
      </c>
      <c r="E12" s="3">
        <v>-2074</v>
      </c>
      <c r="F12" s="3">
        <v>-1562</v>
      </c>
      <c r="G12" s="3">
        <v>-821</v>
      </c>
      <c r="H12" s="3">
        <v>-5093</v>
      </c>
      <c r="I12" s="3">
        <v>-5183</v>
      </c>
      <c r="J12" s="3">
        <v>-4958</v>
      </c>
    </row>
    <row r="13" spans="1:10" x14ac:dyDescent="0.35">
      <c r="B13" t="s">
        <v>24</v>
      </c>
      <c r="E13" s="3">
        <f t="shared" ref="E13:I13" si="2">E10+SUM(E11:E12)</f>
        <v>31918</v>
      </c>
      <c r="F13" s="3">
        <f t="shared" si="2"/>
        <v>25332</v>
      </c>
      <c r="G13" s="3">
        <f t="shared" si="2"/>
        <v>34384</v>
      </c>
      <c r="H13" s="3">
        <f t="shared" si="2"/>
        <v>35557</v>
      </c>
      <c r="I13" s="3">
        <f t="shared" si="2"/>
        <v>37033</v>
      </c>
      <c r="J13" s="3">
        <f>J10+SUM(J11:J12)</f>
        <v>33805</v>
      </c>
    </row>
    <row r="14" spans="1:10" x14ac:dyDescent="0.35">
      <c r="B14" t="s">
        <v>25</v>
      </c>
      <c r="E14" s="3">
        <v>6511</v>
      </c>
      <c r="F14" s="3">
        <v>5282</v>
      </c>
      <c r="G14" s="3">
        <v>7083</v>
      </c>
      <c r="H14" s="3">
        <v>7327</v>
      </c>
      <c r="I14" s="3">
        <v>7999</v>
      </c>
      <c r="J14" s="3">
        <v>7302</v>
      </c>
    </row>
    <row r="15" spans="1:10" x14ac:dyDescent="0.35">
      <c r="B15" t="s">
        <v>26</v>
      </c>
      <c r="E15" s="3">
        <f t="shared" ref="E15:I15" si="3">E13-E14</f>
        <v>25407</v>
      </c>
      <c r="F15" s="3">
        <f t="shared" si="3"/>
        <v>20050</v>
      </c>
      <c r="G15" s="3">
        <f t="shared" si="3"/>
        <v>27301</v>
      </c>
      <c r="H15" s="3">
        <f t="shared" si="3"/>
        <v>28230</v>
      </c>
      <c r="I15" s="3">
        <f t="shared" si="3"/>
        <v>29034</v>
      </c>
      <c r="J15" s="3">
        <f>J13-J14</f>
        <v>26503</v>
      </c>
    </row>
    <row r="16" spans="1:10" x14ac:dyDescent="0.35">
      <c r="E16" s="3"/>
      <c r="F16" s="3"/>
      <c r="G16" s="3"/>
      <c r="H16" s="3"/>
      <c r="I16" s="3"/>
      <c r="J16" s="3"/>
    </row>
    <row r="17" spans="2:10" x14ac:dyDescent="0.35">
      <c r="E17" s="3"/>
      <c r="F17" s="3"/>
      <c r="G17" s="3"/>
      <c r="H17" s="3"/>
      <c r="I17" s="3"/>
      <c r="J17" s="3"/>
    </row>
    <row r="18" spans="2:10" x14ac:dyDescent="0.35">
      <c r="E18" s="3"/>
      <c r="F18" s="3"/>
      <c r="G18" s="3"/>
      <c r="H18" s="3"/>
      <c r="I18" s="3"/>
      <c r="J18" s="3"/>
    </row>
    <row r="19" spans="2:10" x14ac:dyDescent="0.35">
      <c r="B19" t="s">
        <v>35</v>
      </c>
      <c r="E19" s="5">
        <f>E5/E3</f>
        <v>0.8482608762184578</v>
      </c>
      <c r="F19" s="5">
        <f t="shared" ref="F19:J19" si="4">F5/F3</f>
        <v>0.84904496032912136</v>
      </c>
      <c r="G19" s="5">
        <f t="shared" si="4"/>
        <v>0.84142698882360367</v>
      </c>
      <c r="H19" s="5">
        <f t="shared" si="4"/>
        <v>0.84799785254951388</v>
      </c>
      <c r="I19" s="5">
        <f t="shared" si="4"/>
        <v>0.83492770883757861</v>
      </c>
      <c r="J19" s="5">
        <f t="shared" si="4"/>
        <v>0.83285842538740773</v>
      </c>
    </row>
    <row r="20" spans="2:10" x14ac:dyDescent="0.35">
      <c r="B20" t="s">
        <v>36</v>
      </c>
      <c r="E20" s="5">
        <f>E15/E3</f>
        <v>0.38878942294449798</v>
      </c>
      <c r="F20" s="5">
        <f t="shared" ref="F20:J20" si="5">F15/F3</f>
        <v>0.29459300617102557</v>
      </c>
      <c r="G20" s="5">
        <f t="shared" si="5"/>
        <v>0.38284416148981221</v>
      </c>
      <c r="H20" s="5">
        <f t="shared" si="5"/>
        <v>0.32947025664367496</v>
      </c>
      <c r="I20" s="5">
        <f t="shared" si="5"/>
        <v>0.37181605132736562</v>
      </c>
      <c r="J20" s="5">
        <f t="shared" si="5"/>
        <v>0.34483521344835211</v>
      </c>
    </row>
    <row r="21" spans="2:10" x14ac:dyDescent="0.35">
      <c r="E21" s="3"/>
      <c r="F21" s="3"/>
      <c r="G21" s="3"/>
      <c r="H21" s="3"/>
      <c r="I21" s="3"/>
      <c r="J21" s="3"/>
    </row>
    <row r="23" spans="2:10" x14ac:dyDescent="0.35">
      <c r="B23" t="s">
        <v>34</v>
      </c>
      <c r="F23">
        <f>F3/E3-1</f>
        <v>4.1484950037490975E-2</v>
      </c>
      <c r="G23">
        <f t="shared" ref="G23:J23" si="6">G3/F3-1</f>
        <v>4.7766676461945323E-2</v>
      </c>
      <c r="H23">
        <f t="shared" si="6"/>
        <v>0.20153973440282713</v>
      </c>
      <c r="I23">
        <f t="shared" si="6"/>
        <v>-8.8652358110710372E-2</v>
      </c>
      <c r="J23">
        <f t="shared" si="6"/>
        <v>-1.575166160820618E-2</v>
      </c>
    </row>
    <row r="24" spans="2:10" x14ac:dyDescent="0.35">
      <c r="B24" t="s">
        <v>33</v>
      </c>
      <c r="E24" s="4"/>
      <c r="F24">
        <f>F15/E15-1</f>
        <v>-0.21084740425866888</v>
      </c>
      <c r="G24">
        <f>G15/F15-1</f>
        <v>0.36164588528678299</v>
      </c>
      <c r="H24">
        <f>H15/G15-1</f>
        <v>3.4028057580308468E-2</v>
      </c>
      <c r="I24">
        <f>I15/H15-1</f>
        <v>2.8480340063761878E-2</v>
      </c>
      <c r="J24">
        <f>J15/I15-1</f>
        <v>-8.7173658469380744E-2</v>
      </c>
    </row>
  </sheetData>
  <hyperlinks>
    <hyperlink ref="A1" location="Main!A1" display="Main" xr:uid="{EA7C9A62-BF62-47A9-AC22-8E54E544D1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2025-10-28T21:11:03Z</dcterms:modified>
</cp:coreProperties>
</file>