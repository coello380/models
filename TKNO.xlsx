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A018B68B-6551-4D4A-85AA-6617A5EA89F7}" xr6:coauthVersionLast="47" xr6:coauthVersionMax="47" xr10:uidLastSave="{00000000-0000-0000-0000-000000000000}"/>
  <bookViews>
    <workbookView xWindow="900" yWindow="1170" windowWidth="17350" windowHeight="1602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14" i="2" s="1"/>
  <c r="E16" i="2" s="1"/>
  <c r="E18" i="2" s="1"/>
  <c r="H7" i="2"/>
  <c r="H14" i="2" s="1"/>
  <c r="H16" i="2" s="1"/>
  <c r="H18" i="2" s="1"/>
  <c r="O11" i="1"/>
  <c r="O10" i="1"/>
  <c r="N5" i="2"/>
  <c r="N7" i="2" s="1"/>
  <c r="N14" i="2" s="1"/>
  <c r="N16" i="2" s="1"/>
  <c r="N18" i="2" s="1"/>
  <c r="M5" i="2"/>
  <c r="M7" i="2" s="1"/>
  <c r="M14" i="2" s="1"/>
  <c r="M15" i="2"/>
  <c r="O8" i="1"/>
  <c r="N22" i="2" l="1"/>
  <c r="M16" i="2"/>
  <c r="M18" i="2" s="1"/>
</calcChain>
</file>

<file path=xl/sharedStrings.xml><?xml version="1.0" encoding="utf-8"?>
<sst xmlns="http://schemas.openxmlformats.org/spreadsheetml/2006/main" count="49" uniqueCount="49">
  <si>
    <t xml:space="preserve">Price </t>
  </si>
  <si>
    <t>shares</t>
  </si>
  <si>
    <t>mc</t>
  </si>
  <si>
    <t>Cash</t>
  </si>
  <si>
    <t>Debt</t>
  </si>
  <si>
    <t>EV</t>
  </si>
  <si>
    <t>Lab essentials</t>
  </si>
  <si>
    <t>Clinical solutions</t>
  </si>
  <si>
    <t>Prod Types</t>
  </si>
  <si>
    <t>pre-poured media plates</t>
  </si>
  <si>
    <t>liquid cell culture media</t>
  </si>
  <si>
    <t>molecular biology reagents</t>
  </si>
  <si>
    <t>Revenue</t>
  </si>
  <si>
    <t>COGS</t>
  </si>
  <si>
    <t>Gross profit</t>
  </si>
  <si>
    <t>R&amp;D</t>
  </si>
  <si>
    <t>Sales &amp; marketing</t>
  </si>
  <si>
    <t>SG&amp;A</t>
  </si>
  <si>
    <t>Amortization</t>
  </si>
  <si>
    <t>Tradename impairment</t>
  </si>
  <si>
    <t>Long-lived assets impairment</t>
  </si>
  <si>
    <t>Loss from operations</t>
  </si>
  <si>
    <t>Other expenses, net</t>
  </si>
  <si>
    <t>Loss before income tax</t>
  </si>
  <si>
    <t>Benefit from income tax</t>
  </si>
  <si>
    <t>Net loss</t>
  </si>
  <si>
    <t>Lab Essentials</t>
  </si>
  <si>
    <t>Clinical Solutions</t>
  </si>
  <si>
    <t xml:space="preserve">Other </t>
  </si>
  <si>
    <t>Essentially all of the revenue is coming from the US</t>
  </si>
  <si>
    <t>How is this affected by tariffs?</t>
  </si>
  <si>
    <t>CEO</t>
  </si>
  <si>
    <t>Stephen Gunstream</t>
  </si>
  <si>
    <t>CFO</t>
  </si>
  <si>
    <t>Matt Lowell</t>
  </si>
  <si>
    <t>Prod categories</t>
  </si>
  <si>
    <t>26688 investment in short term securities held to maturity????</t>
  </si>
  <si>
    <t>from 2023 to 2024</t>
  </si>
  <si>
    <t>2Q23</t>
  </si>
  <si>
    <t>2Q24</t>
  </si>
  <si>
    <t>3Q23</t>
  </si>
  <si>
    <t>4Q23</t>
  </si>
  <si>
    <t>1Q24</t>
  </si>
  <si>
    <t>3Q24</t>
  </si>
  <si>
    <t>4Q24</t>
  </si>
  <si>
    <t>rev y/y</t>
  </si>
  <si>
    <t>P/S</t>
  </si>
  <si>
    <t>8x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</si>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</sst>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O21"/>
  <sheetViews>
    <sheetView workbookViewId="0">
      <selection activeCell="P9" sqref="P9"/>
    </sheetView>
  </sheetViews>
  <sheetFormatPr defaultRowHeight="14.5" x14ac:dyDescent="0.35"/>
  <cols>
    <col min="15" max="15" width="9.81640625" bestFit="1" customWidth="1"/>
  </cols>
  <sheetData>
    <row r="5" spans="2:15" x14ac:dyDescent="0.35">
      <c r="B5" s="4" t="s">
        <v>35</v>
      </c>
      <c r="F5" t="s">
        <v>31</v>
      </c>
      <c r="G5" t="s">
        <v>32</v>
      </c>
    </row>
    <row r="6" spans="2:15" x14ac:dyDescent="0.35">
      <c r="B6" t="s">
        <v>6</v>
      </c>
      <c r="F6" t="s">
        <v>33</v>
      </c>
      <c r="G6" t="s">
        <v>34</v>
      </c>
      <c r="N6" t="s">
        <v>0</v>
      </c>
      <c r="O6">
        <v>5.68</v>
      </c>
    </row>
    <row r="7" spans="2:15" x14ac:dyDescent="0.35">
      <c r="B7" t="s">
        <v>7</v>
      </c>
      <c r="N7" t="s">
        <v>1</v>
      </c>
      <c r="O7">
        <v>53436</v>
      </c>
    </row>
    <row r="8" spans="2:15" x14ac:dyDescent="0.35">
      <c r="N8" t="s">
        <v>2</v>
      </c>
      <c r="O8" s="1">
        <f>O7*O6</f>
        <v>303516.48</v>
      </c>
    </row>
    <row r="9" spans="2:15" x14ac:dyDescent="0.35">
      <c r="N9" t="s">
        <v>3</v>
      </c>
      <c r="O9">
        <v>3708</v>
      </c>
    </row>
    <row r="10" spans="2:15" x14ac:dyDescent="0.35">
      <c r="B10" s="4" t="s">
        <v>8</v>
      </c>
      <c r="N10" t="s">
        <v>4</v>
      </c>
      <c r="O10">
        <f>9443+4045</f>
        <v>13488</v>
      </c>
    </row>
    <row r="11" spans="2:15" x14ac:dyDescent="0.35">
      <c r="B11" t="s">
        <v>9</v>
      </c>
      <c r="N11" t="s">
        <v>5</v>
      </c>
      <c r="O11" s="1">
        <f>O8-O9+O10</f>
        <v>313296.48</v>
      </c>
    </row>
    <row r="12" spans="2:15" x14ac:dyDescent="0.35">
      <c r="B12" t="s">
        <v>10</v>
      </c>
    </row>
    <row r="13" spans="2:15" x14ac:dyDescent="0.35">
      <c r="B13" t="s">
        <v>11</v>
      </c>
      <c r="N13" t="s">
        <v>46</v>
      </c>
      <c r="O13" t="s">
        <v>47</v>
      </c>
    </row>
    <row r="16" spans="2:15" x14ac:dyDescent="0.35">
      <c r="B16" t="s">
        <v>29</v>
      </c>
    </row>
    <row r="17" spans="2:3" x14ac:dyDescent="0.35">
      <c r="C17" t="s">
        <v>30</v>
      </c>
    </row>
    <row r="20" spans="2:3" x14ac:dyDescent="0.35">
      <c r="B20" s="5" t="s">
        <v>36</v>
      </c>
    </row>
    <row r="21" spans="2:3" x14ac:dyDescent="0.35">
      <c r="B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2DC7-7C24-4D74-A1E9-DD0E6F374D54}">
  <dimension ref="A1:N22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5.08984375" bestFit="1" customWidth="1"/>
    <col min="2" max="2" width="25.36328125" bestFit="1" customWidth="1"/>
    <col min="14" max="14" width="9.453125" bestFit="1" customWidth="1"/>
  </cols>
  <sheetData>
    <row r="1" spans="1:14" x14ac:dyDescent="0.35">
      <c r="A1" s="7" t="s">
        <v>48</v>
      </c>
      <c r="D1" t="s">
        <v>38</v>
      </c>
      <c r="E1" t="s">
        <v>40</v>
      </c>
      <c r="F1" t="s">
        <v>41</v>
      </c>
      <c r="G1" t="s">
        <v>42</v>
      </c>
      <c r="H1" t="s">
        <v>39</v>
      </c>
      <c r="I1" t="s">
        <v>43</v>
      </c>
      <c r="J1" t="s">
        <v>44</v>
      </c>
      <c r="M1">
        <v>2023</v>
      </c>
      <c r="N1">
        <v>2024</v>
      </c>
    </row>
    <row r="2" spans="1:14" x14ac:dyDescent="0.35">
      <c r="B2" t="s">
        <v>26</v>
      </c>
      <c r="M2" s="2">
        <v>28800</v>
      </c>
      <c r="N2" s="2">
        <v>28883</v>
      </c>
    </row>
    <row r="3" spans="1:14" x14ac:dyDescent="0.35">
      <c r="B3" t="s">
        <v>27</v>
      </c>
      <c r="M3" s="2">
        <v>6738</v>
      </c>
      <c r="N3" s="2">
        <v>7097</v>
      </c>
    </row>
    <row r="4" spans="1:14" x14ac:dyDescent="0.35">
      <c r="B4" t="s">
        <v>28</v>
      </c>
      <c r="M4" s="2">
        <v>1146</v>
      </c>
      <c r="N4" s="2">
        <v>1765</v>
      </c>
    </row>
    <row r="5" spans="1:14" x14ac:dyDescent="0.35">
      <c r="B5" t="s">
        <v>12</v>
      </c>
      <c r="E5">
        <v>11527</v>
      </c>
      <c r="H5" s="2">
        <v>9614</v>
      </c>
      <c r="M5" s="3">
        <f>SUM(M2:M4)</f>
        <v>36684</v>
      </c>
      <c r="N5" s="3">
        <f>SUM(N2:N4)</f>
        <v>37745</v>
      </c>
    </row>
    <row r="6" spans="1:14" x14ac:dyDescent="0.35">
      <c r="B6" t="s">
        <v>13</v>
      </c>
      <c r="E6">
        <v>6461</v>
      </c>
      <c r="H6" s="2">
        <v>6810</v>
      </c>
      <c r="M6" s="2">
        <v>26388</v>
      </c>
      <c r="N6" s="2">
        <v>30514</v>
      </c>
    </row>
    <row r="7" spans="1:14" x14ac:dyDescent="0.35">
      <c r="B7" t="s">
        <v>14</v>
      </c>
      <c r="E7" s="2">
        <f>E5-E6</f>
        <v>5066</v>
      </c>
      <c r="H7" s="2">
        <f>H5-H6</f>
        <v>2804</v>
      </c>
      <c r="M7" s="2">
        <f>M5-M6</f>
        <v>10296</v>
      </c>
      <c r="N7" s="2">
        <f>N5-N6</f>
        <v>7231</v>
      </c>
    </row>
    <row r="8" spans="1:14" x14ac:dyDescent="0.35">
      <c r="B8" t="s">
        <v>15</v>
      </c>
      <c r="E8" s="2">
        <v>1464</v>
      </c>
      <c r="H8" s="2">
        <v>678</v>
      </c>
      <c r="M8" s="2">
        <v>5567</v>
      </c>
      <c r="N8" s="2">
        <v>2759</v>
      </c>
    </row>
    <row r="9" spans="1:14" x14ac:dyDescent="0.35">
      <c r="B9" t="s">
        <v>16</v>
      </c>
      <c r="E9" s="2">
        <v>2174</v>
      </c>
      <c r="H9" s="2">
        <v>1456</v>
      </c>
      <c r="M9" s="2">
        <v>9330</v>
      </c>
      <c r="N9" s="2">
        <v>6320</v>
      </c>
    </row>
    <row r="10" spans="1:14" x14ac:dyDescent="0.35">
      <c r="B10" t="s">
        <v>17</v>
      </c>
      <c r="E10" s="2">
        <v>5943</v>
      </c>
      <c r="H10" s="2">
        <v>5483</v>
      </c>
      <c r="M10" s="2">
        <v>25450</v>
      </c>
      <c r="N10" s="2">
        <v>23150</v>
      </c>
    </row>
    <row r="11" spans="1:14" x14ac:dyDescent="0.35">
      <c r="B11" t="s">
        <v>18</v>
      </c>
      <c r="E11" s="2">
        <v>287</v>
      </c>
      <c r="H11" s="2">
        <v>287</v>
      </c>
      <c r="M11" s="2">
        <v>1148</v>
      </c>
      <c r="N11" s="2">
        <v>1148</v>
      </c>
    </row>
    <row r="12" spans="1:14" x14ac:dyDescent="0.35">
      <c r="B12" t="s">
        <v>19</v>
      </c>
      <c r="E12" s="2">
        <v>0</v>
      </c>
      <c r="H12" s="2">
        <v>0</v>
      </c>
      <c r="M12" s="2">
        <v>2169</v>
      </c>
      <c r="N12" s="2">
        <v>0</v>
      </c>
    </row>
    <row r="13" spans="1:14" x14ac:dyDescent="0.35">
      <c r="B13" t="s">
        <v>20</v>
      </c>
      <c r="E13" s="2">
        <v>2195</v>
      </c>
      <c r="H13" s="2">
        <v>0</v>
      </c>
      <c r="M13" s="2">
        <v>2195</v>
      </c>
      <c r="N13" s="2">
        <v>0</v>
      </c>
    </row>
    <row r="14" spans="1:14" x14ac:dyDescent="0.35">
      <c r="B14" t="s">
        <v>21</v>
      </c>
      <c r="E14" s="2">
        <f>E7-SUM(E8:E13)</f>
        <v>-6997</v>
      </c>
      <c r="H14" s="2">
        <f>H7-SUM(H8:H13)</f>
        <v>-5100</v>
      </c>
      <c r="M14" s="2">
        <f>M7-SUM(M8:M13)</f>
        <v>-35563</v>
      </c>
      <c r="N14" s="2">
        <f>N7-SUM(N8:N13)</f>
        <v>-26146</v>
      </c>
    </row>
    <row r="15" spans="1:14" x14ac:dyDescent="0.35">
      <c r="B15" t="s">
        <v>22</v>
      </c>
      <c r="E15" s="2">
        <v>-142</v>
      </c>
      <c r="H15" s="2">
        <v>-272</v>
      </c>
      <c r="M15" s="2">
        <f>-833+142-824</f>
        <v>-1515</v>
      </c>
      <c r="N15" s="2">
        <v>-687</v>
      </c>
    </row>
    <row r="16" spans="1:14" x14ac:dyDescent="0.35">
      <c r="B16" t="s">
        <v>23</v>
      </c>
      <c r="E16" s="2">
        <f>+E14+E15</f>
        <v>-7139</v>
      </c>
      <c r="H16" s="2">
        <f>+H14+H15</f>
        <v>-5372</v>
      </c>
      <c r="M16" s="2">
        <f>M14+M15</f>
        <v>-37078</v>
      </c>
      <c r="N16" s="2">
        <f>N14+N15</f>
        <v>-26833</v>
      </c>
    </row>
    <row r="17" spans="2:14" x14ac:dyDescent="0.35">
      <c r="B17" t="s">
        <v>24</v>
      </c>
      <c r="E17" s="2">
        <v>15</v>
      </c>
      <c r="H17" s="2">
        <v>-8</v>
      </c>
      <c r="M17" s="2">
        <v>-298</v>
      </c>
      <c r="N17" s="2">
        <v>-88</v>
      </c>
    </row>
    <row r="18" spans="2:14" x14ac:dyDescent="0.35">
      <c r="B18" t="s">
        <v>25</v>
      </c>
      <c r="E18" s="2">
        <f>+E16-E17</f>
        <v>-7154</v>
      </c>
      <c r="H18" s="2">
        <f>+H16-H17</f>
        <v>-5364</v>
      </c>
      <c r="M18" s="2">
        <f>M16-M17</f>
        <v>-36780</v>
      </c>
      <c r="N18" s="2">
        <f>N16-N17</f>
        <v>-26745</v>
      </c>
    </row>
    <row r="22" spans="2:14" x14ac:dyDescent="0.35">
      <c r="B22" t="s">
        <v>45</v>
      </c>
      <c r="N22" s="6">
        <f>N5/M5-1</f>
        <v>2.8922691091483932E-2</v>
      </c>
    </row>
  </sheetData>
  <hyperlinks>
    <hyperlink ref="A1" location="main!A1" display="Main" xr:uid="{B16EAF6D-F8F0-4495-8A60-DE3B06D755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2025-04-30T22:11:36Z</dcterms:modified>
</cp:coreProperties>
</file>