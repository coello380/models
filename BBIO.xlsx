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models\"/>
    </mc:Choice>
  </mc:AlternateContent>
  <xr:revisionPtr revIDLastSave="0" documentId="13_ncr:1_{CF26009C-FE21-43EB-AC05-454945633BBD}" xr6:coauthVersionLast="47" xr6:coauthVersionMax="47" xr10:uidLastSave="{00000000-0000-0000-0000-000000000000}"/>
  <bookViews>
    <workbookView xWindow="440" yWindow="730" windowWidth="16810" windowHeight="17250" activeTab="1" xr2:uid="{00000000-000D-0000-FFFF-FFFF00000000}"/>
  </bookViews>
  <sheets>
    <sheet name="Main" sheetId="1" r:id="rId1"/>
    <sheet name="Model" sheetId="2" r:id="rId2"/>
    <sheet name="BBP-418" sheetId="5" r:id="rId3"/>
    <sheet name="Attruby" sheetId="4" r:id="rId4"/>
    <sheet name="ATTC-CM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" i="2" l="1"/>
  <c r="E14" i="2"/>
  <c r="E16" i="2" s="1"/>
  <c r="D16" i="2"/>
  <c r="I16" i="2"/>
  <c r="J16" i="2"/>
  <c r="E6" i="2"/>
  <c r="E12" i="2" s="1"/>
  <c r="D6" i="2"/>
  <c r="J6" i="2"/>
  <c r="J12" i="2" s="1"/>
  <c r="J14" i="2" s="1"/>
  <c r="I6" i="2"/>
  <c r="S2" i="2"/>
  <c r="T2" i="2" s="1"/>
  <c r="U2" i="2" s="1"/>
  <c r="V2" i="2" s="1"/>
  <c r="W2" i="2" s="1"/>
  <c r="X2" i="2" s="1"/>
  <c r="Y2" i="2" s="1"/>
  <c r="Z2" i="2" s="1"/>
  <c r="AA2" i="2" s="1"/>
  <c r="D12" i="2"/>
  <c r="D14" i="2" s="1"/>
  <c r="I12" i="2"/>
  <c r="I14" i="2" s="1"/>
  <c r="N8" i="1" l="1"/>
  <c r="N7" i="1"/>
  <c r="N5" i="1"/>
</calcChain>
</file>

<file path=xl/sharedStrings.xml><?xml version="1.0" encoding="utf-8"?>
<sst xmlns="http://schemas.openxmlformats.org/spreadsheetml/2006/main" count="64" uniqueCount="57">
  <si>
    <t>Price</t>
  </si>
  <si>
    <t>Shares</t>
  </si>
  <si>
    <t>MC</t>
  </si>
  <si>
    <t>Cash</t>
  </si>
  <si>
    <t>Debt</t>
  </si>
  <si>
    <t>EV</t>
  </si>
  <si>
    <t>Name</t>
  </si>
  <si>
    <t>Indication</t>
  </si>
  <si>
    <t>MOA</t>
  </si>
  <si>
    <t>Mechanism</t>
  </si>
  <si>
    <t>IP</t>
  </si>
  <si>
    <t>Approved</t>
  </si>
  <si>
    <t>Economics</t>
  </si>
  <si>
    <t>Phase</t>
  </si>
  <si>
    <t>Competition</t>
  </si>
  <si>
    <t>Main</t>
  </si>
  <si>
    <t>License and services revenue</t>
  </si>
  <si>
    <t>Net product revenue</t>
  </si>
  <si>
    <t>Revenues</t>
  </si>
  <si>
    <t>COGS</t>
  </si>
  <si>
    <t>Cost of license and services revenue</t>
  </si>
  <si>
    <t>R&amp;D</t>
  </si>
  <si>
    <t>SG&amp;A</t>
  </si>
  <si>
    <t>Restructuring, impairment, and related</t>
  </si>
  <si>
    <t>Income (loss) from operations</t>
  </si>
  <si>
    <t>in millions</t>
  </si>
  <si>
    <t>Other income (expense), net</t>
  </si>
  <si>
    <t>Net loss</t>
  </si>
  <si>
    <t>EPS common</t>
  </si>
  <si>
    <t>1Q2025</t>
  </si>
  <si>
    <t>1Q2024</t>
  </si>
  <si>
    <t>2Q2024</t>
  </si>
  <si>
    <t>3Q2024</t>
  </si>
  <si>
    <t>4Q2024</t>
  </si>
  <si>
    <t>2Q2025</t>
  </si>
  <si>
    <t>3Q2025</t>
  </si>
  <si>
    <t>4Q2025</t>
  </si>
  <si>
    <t>founded 2015</t>
  </si>
  <si>
    <t>strong focus on genetic diseases</t>
  </si>
  <si>
    <t>Attruby/Beyonttra</t>
  </si>
  <si>
    <t>2024/2025</t>
  </si>
  <si>
    <t>Symptoms</t>
  </si>
  <si>
    <t>Treatments</t>
  </si>
  <si>
    <t>Tansmission</t>
  </si>
  <si>
    <t>Transthyretin amyloid cardiomyopathy (ATTR-CM)</t>
  </si>
  <si>
    <t>infigratinib</t>
  </si>
  <si>
    <t>Achondroplasia</t>
  </si>
  <si>
    <t>Emcalered</t>
  </si>
  <si>
    <t>ADH1</t>
  </si>
  <si>
    <t>BBP-418</t>
  </si>
  <si>
    <t>LGMD2I/R9</t>
  </si>
  <si>
    <t>III?</t>
  </si>
  <si>
    <t>ATTC-CM</t>
  </si>
  <si>
    <t>Royalty revenue</t>
  </si>
  <si>
    <t>Income tax expense</t>
  </si>
  <si>
    <t>Loss before taxes</t>
  </si>
  <si>
    <t>Product y/y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</si>
</sst>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4" fontId="0" fillId="0" borderId="0" xfId="0" applyNumberFormat="1"/>
    <xf numFmtId="0" fontId="0" fillId="0" borderId="1" xfId="0" applyBorder="1"/>
    <xf numFmtId="0" fontId="1" fillId="0" borderId="0" xfId="1"/>
    <xf numFmtId="1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N22"/>
  <sheetViews>
    <sheetView workbookViewId="0">
      <selection activeCell="G26" sqref="G26"/>
    </sheetView>
  </sheetViews>
  <sheetFormatPr defaultRowHeight="14.5" x14ac:dyDescent="0.35"/>
  <cols>
    <col min="2" max="2" width="16.1796875" bestFit="1" customWidth="1"/>
    <col min="3" max="3" width="13.90625" bestFit="1" customWidth="1"/>
    <col min="4" max="4" width="9.6328125" bestFit="1" customWidth="1"/>
    <col min="5" max="5" width="10.453125" bestFit="1" customWidth="1"/>
    <col min="6" max="6" width="10.7265625" customWidth="1"/>
    <col min="7" max="7" width="11.08984375" bestFit="1" customWidth="1"/>
    <col min="14" max="14" width="11.26953125" bestFit="1" customWidth="1"/>
  </cols>
  <sheetData>
    <row r="3" spans="2:14" x14ac:dyDescent="0.35">
      <c r="B3" s="2" t="s">
        <v>6</v>
      </c>
      <c r="C3" s="2" t="s">
        <v>7</v>
      </c>
      <c r="D3" s="2" t="s">
        <v>12</v>
      </c>
      <c r="E3" s="2" t="s">
        <v>11</v>
      </c>
      <c r="F3" s="2" t="s">
        <v>8</v>
      </c>
      <c r="G3" s="2" t="s">
        <v>10</v>
      </c>
      <c r="M3" t="s">
        <v>0</v>
      </c>
      <c r="N3">
        <v>43</v>
      </c>
    </row>
    <row r="4" spans="2:14" x14ac:dyDescent="0.35">
      <c r="B4" s="3" t="s">
        <v>39</v>
      </c>
      <c r="C4" t="s">
        <v>52</v>
      </c>
      <c r="E4" t="s">
        <v>40</v>
      </c>
      <c r="M4" t="s">
        <v>1</v>
      </c>
      <c r="N4">
        <v>190</v>
      </c>
    </row>
    <row r="5" spans="2:14" x14ac:dyDescent="0.35">
      <c r="M5" t="s">
        <v>2</v>
      </c>
      <c r="N5" s="1">
        <f>N3*N4</f>
        <v>8170</v>
      </c>
    </row>
    <row r="6" spans="2:14" x14ac:dyDescent="0.35">
      <c r="M6" t="s">
        <v>3</v>
      </c>
      <c r="N6" s="1">
        <v>115.3</v>
      </c>
    </row>
    <row r="7" spans="2:14" x14ac:dyDescent="0.35">
      <c r="M7" t="s">
        <v>4</v>
      </c>
      <c r="N7" s="1">
        <f>152+563+739</f>
        <v>1454</v>
      </c>
    </row>
    <row r="8" spans="2:14" x14ac:dyDescent="0.35">
      <c r="M8" t="s">
        <v>5</v>
      </c>
      <c r="N8" s="1">
        <f>N5-N6+N7</f>
        <v>9508.7000000000007</v>
      </c>
    </row>
    <row r="10" spans="2:14" x14ac:dyDescent="0.35">
      <c r="M10" t="s">
        <v>37</v>
      </c>
    </row>
    <row r="12" spans="2:14" x14ac:dyDescent="0.35">
      <c r="M12" t="s">
        <v>38</v>
      </c>
    </row>
    <row r="19" spans="2:7" x14ac:dyDescent="0.35">
      <c r="B19" s="2"/>
      <c r="C19" s="2"/>
      <c r="D19" s="2"/>
      <c r="E19" s="2" t="s">
        <v>13</v>
      </c>
      <c r="F19" s="2" t="s">
        <v>9</v>
      </c>
      <c r="G19" s="2" t="s">
        <v>14</v>
      </c>
    </row>
    <row r="20" spans="2:7" x14ac:dyDescent="0.35">
      <c r="B20" t="s">
        <v>45</v>
      </c>
      <c r="C20" t="s">
        <v>46</v>
      </c>
      <c r="E20" t="s">
        <v>51</v>
      </c>
    </row>
    <row r="21" spans="2:7" x14ac:dyDescent="0.35">
      <c r="B21" t="s">
        <v>47</v>
      </c>
      <c r="C21" t="s">
        <v>48</v>
      </c>
      <c r="E21" t="s">
        <v>51</v>
      </c>
    </row>
    <row r="22" spans="2:7" x14ac:dyDescent="0.35">
      <c r="B22" s="3" t="s">
        <v>49</v>
      </c>
      <c r="C22" t="s">
        <v>50</v>
      </c>
      <c r="E22" t="s">
        <v>51</v>
      </c>
    </row>
  </sheetData>
  <hyperlinks>
    <hyperlink ref="B4" location="Attruby!A1" display="Attruby/Beyonttra" xr:uid="{2B92AD0E-1E66-4FFC-B95B-C9D8CAE6DDD4}"/>
    <hyperlink ref="B22" location="'BBP-418'!A1" display="BBP-418" xr:uid="{BE8165FE-717C-408C-8BEC-909B24090E6B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B80B0-1D52-4B84-B3E6-C231ECF230DF}">
  <dimension ref="A1:AA21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G12" sqref="G12"/>
    </sheetView>
  </sheetViews>
  <sheetFormatPr defaultRowHeight="14.5" x14ac:dyDescent="0.35"/>
  <cols>
    <col min="1" max="1" width="5.08984375" bestFit="1" customWidth="1"/>
    <col min="2" max="2" width="33.54296875" bestFit="1" customWidth="1"/>
  </cols>
  <sheetData>
    <row r="1" spans="1:27" x14ac:dyDescent="0.35">
      <c r="A1" s="3" t="s">
        <v>15</v>
      </c>
      <c r="B1" t="s">
        <v>25</v>
      </c>
    </row>
    <row r="2" spans="1:27" x14ac:dyDescent="0.35">
      <c r="D2" t="s">
        <v>30</v>
      </c>
      <c r="E2" t="s">
        <v>31</v>
      </c>
      <c r="F2" t="s">
        <v>32</v>
      </c>
      <c r="G2" t="s">
        <v>33</v>
      </c>
      <c r="I2" t="s">
        <v>29</v>
      </c>
      <c r="J2" t="s">
        <v>34</v>
      </c>
      <c r="K2" t="s">
        <v>35</v>
      </c>
      <c r="L2" t="s">
        <v>36</v>
      </c>
      <c r="Q2">
        <v>2024</v>
      </c>
      <c r="R2">
        <v>2025</v>
      </c>
      <c r="S2">
        <f>R2+1</f>
        <v>2026</v>
      </c>
      <c r="T2">
        <f t="shared" ref="T2:AA2" si="0">S2+1</f>
        <v>2027</v>
      </c>
      <c r="U2">
        <f t="shared" si="0"/>
        <v>2028</v>
      </c>
      <c r="V2">
        <f t="shared" si="0"/>
        <v>2029</v>
      </c>
      <c r="W2">
        <f t="shared" si="0"/>
        <v>2030</v>
      </c>
      <c r="X2">
        <f t="shared" si="0"/>
        <v>2031</v>
      </c>
      <c r="Y2">
        <f t="shared" si="0"/>
        <v>2032</v>
      </c>
      <c r="Z2">
        <f t="shared" si="0"/>
        <v>2033</v>
      </c>
      <c r="AA2">
        <f t="shared" si="0"/>
        <v>2034</v>
      </c>
    </row>
    <row r="3" spans="1:27" x14ac:dyDescent="0.35">
      <c r="B3" t="s">
        <v>16</v>
      </c>
      <c r="D3">
        <v>211</v>
      </c>
      <c r="E3">
        <v>2.2000000000000002</v>
      </c>
      <c r="I3">
        <v>79.900000000000006</v>
      </c>
      <c r="J3">
        <v>37</v>
      </c>
    </row>
    <row r="4" spans="1:27" x14ac:dyDescent="0.35">
      <c r="B4" t="s">
        <v>17</v>
      </c>
      <c r="D4">
        <v>0</v>
      </c>
      <c r="E4">
        <v>0</v>
      </c>
      <c r="I4">
        <v>36.700000000000003</v>
      </c>
      <c r="J4">
        <v>72</v>
      </c>
    </row>
    <row r="5" spans="1:27" x14ac:dyDescent="0.35">
      <c r="B5" t="s">
        <v>53</v>
      </c>
      <c r="D5">
        <v>0</v>
      </c>
      <c r="E5">
        <v>0</v>
      </c>
      <c r="I5">
        <v>0</v>
      </c>
      <c r="J5">
        <v>2</v>
      </c>
    </row>
    <row r="6" spans="1:27" x14ac:dyDescent="0.35">
      <c r="B6" t="s">
        <v>18</v>
      </c>
      <c r="D6">
        <f>SUM(D3:D5)</f>
        <v>211</v>
      </c>
      <c r="E6">
        <f>SUM(E3:E5)</f>
        <v>2.2000000000000002</v>
      </c>
      <c r="I6">
        <f>SUM(I3:I5)</f>
        <v>116.60000000000001</v>
      </c>
      <c r="J6">
        <f>SUM(J3:J5)</f>
        <v>111</v>
      </c>
    </row>
    <row r="7" spans="1:27" x14ac:dyDescent="0.35">
      <c r="B7" t="s">
        <v>20</v>
      </c>
      <c r="D7">
        <v>1</v>
      </c>
      <c r="E7">
        <v>0.6</v>
      </c>
      <c r="I7">
        <v>1</v>
      </c>
      <c r="J7">
        <v>1</v>
      </c>
    </row>
    <row r="8" spans="1:27" x14ac:dyDescent="0.35">
      <c r="B8" t="s">
        <v>19</v>
      </c>
      <c r="D8">
        <v>0</v>
      </c>
      <c r="E8">
        <v>0</v>
      </c>
      <c r="I8">
        <v>2</v>
      </c>
      <c r="J8">
        <v>3</v>
      </c>
    </row>
    <row r="9" spans="1:27" x14ac:dyDescent="0.35">
      <c r="B9" t="s">
        <v>21</v>
      </c>
      <c r="D9">
        <v>141</v>
      </c>
      <c r="E9">
        <v>114.7</v>
      </c>
      <c r="I9">
        <v>111</v>
      </c>
      <c r="J9">
        <v>111</v>
      </c>
    </row>
    <row r="10" spans="1:27" x14ac:dyDescent="0.35">
      <c r="B10" t="s">
        <v>22</v>
      </c>
      <c r="D10">
        <v>66</v>
      </c>
      <c r="E10">
        <v>59.5</v>
      </c>
      <c r="I10">
        <v>106</v>
      </c>
      <c r="J10">
        <v>129</v>
      </c>
    </row>
    <row r="11" spans="1:27" x14ac:dyDescent="0.35">
      <c r="B11" t="s">
        <v>23</v>
      </c>
      <c r="D11">
        <v>3</v>
      </c>
      <c r="E11">
        <v>2.9</v>
      </c>
      <c r="I11">
        <v>1</v>
      </c>
      <c r="J11">
        <v>1</v>
      </c>
    </row>
    <row r="12" spans="1:27" x14ac:dyDescent="0.35">
      <c r="B12" t="s">
        <v>24</v>
      </c>
      <c r="D12">
        <f>D6-SUM(D7:D11)</f>
        <v>0</v>
      </c>
      <c r="E12">
        <f>E6-SUM(E7:E11)</f>
        <v>-175.50000000000003</v>
      </c>
      <c r="I12">
        <f>I6-SUM(I7:I11)</f>
        <v>-104.39999999999999</v>
      </c>
      <c r="J12">
        <f>J6-SUM(J7:J11)</f>
        <v>-134</v>
      </c>
    </row>
    <row r="13" spans="1:27" x14ac:dyDescent="0.35">
      <c r="B13" t="s">
        <v>26</v>
      </c>
      <c r="D13">
        <v>-37</v>
      </c>
      <c r="E13">
        <v>100</v>
      </c>
      <c r="I13">
        <v>-65</v>
      </c>
      <c r="J13">
        <v>-47</v>
      </c>
    </row>
    <row r="14" spans="1:27" x14ac:dyDescent="0.35">
      <c r="B14" t="s">
        <v>55</v>
      </c>
      <c r="D14">
        <f>D12+D13</f>
        <v>-37</v>
      </c>
      <c r="E14">
        <f>E12+E13</f>
        <v>-75.500000000000028</v>
      </c>
      <c r="I14">
        <f>I12+I13</f>
        <v>-169.39999999999998</v>
      </c>
      <c r="J14">
        <f>J12+J13</f>
        <v>-181</v>
      </c>
    </row>
    <row r="15" spans="1:27" x14ac:dyDescent="0.35">
      <c r="B15" t="s">
        <v>54</v>
      </c>
      <c r="D15">
        <v>0</v>
      </c>
      <c r="E15">
        <v>0</v>
      </c>
      <c r="I15">
        <v>0</v>
      </c>
      <c r="J15">
        <v>2</v>
      </c>
    </row>
    <row r="16" spans="1:27" x14ac:dyDescent="0.35">
      <c r="B16" t="s">
        <v>27</v>
      </c>
      <c r="D16">
        <f>D14-D15</f>
        <v>-37</v>
      </c>
      <c r="E16">
        <f>E14-E15</f>
        <v>-75.500000000000028</v>
      </c>
      <c r="I16">
        <f>I14-I15</f>
        <v>-169.39999999999998</v>
      </c>
      <c r="J16">
        <f>J14-J15</f>
        <v>-183</v>
      </c>
    </row>
    <row r="17" spans="2:10" x14ac:dyDescent="0.35">
      <c r="B17" t="s">
        <v>28</v>
      </c>
      <c r="D17">
        <v>-0.2</v>
      </c>
      <c r="E17">
        <v>-0.39</v>
      </c>
      <c r="I17">
        <v>-0.88</v>
      </c>
      <c r="J17">
        <v>-0.95</v>
      </c>
    </row>
    <row r="21" spans="2:10" x14ac:dyDescent="0.35">
      <c r="B21" t="s">
        <v>56</v>
      </c>
      <c r="J21" s="4">
        <f>J4/I4-1</f>
        <v>0.96185286103542222</v>
      </c>
    </row>
  </sheetData>
  <hyperlinks>
    <hyperlink ref="A1" location="Main!A1" display="Main" xr:uid="{6982F87B-A100-4D99-AFD4-C568C2027835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4CFFA-D268-4C5F-99DE-234607770130}">
  <dimension ref="A1"/>
  <sheetViews>
    <sheetView workbookViewId="0"/>
  </sheetViews>
  <sheetFormatPr defaultRowHeight="14.5" x14ac:dyDescent="0.35"/>
  <sheetData>
    <row r="1" spans="1:1" x14ac:dyDescent="0.35">
      <c r="A1" s="3" t="s">
        <v>15</v>
      </c>
    </row>
  </sheetData>
  <hyperlinks>
    <hyperlink ref="A1" location="Main!A1" display="Main" xr:uid="{CE893523-3AB1-480F-86FB-A7F28DC6618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BEB3A-5069-47E3-8923-C7C57C7540F2}">
  <dimension ref="A1"/>
  <sheetViews>
    <sheetView workbookViewId="0"/>
  </sheetViews>
  <sheetFormatPr defaultRowHeight="14.5" x14ac:dyDescent="0.35"/>
  <sheetData>
    <row r="1" spans="1:1" x14ac:dyDescent="0.35">
      <c r="A1" s="3" t="s">
        <v>15</v>
      </c>
    </row>
  </sheetData>
  <hyperlinks>
    <hyperlink ref="A1" location="Main!A1" display="Main" xr:uid="{0A3E4497-0D06-48E6-BCA6-A3A16E58E7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734A3-E714-4F47-8DB1-ADEF32D693F4}">
  <dimension ref="A1:C6"/>
  <sheetViews>
    <sheetView workbookViewId="0"/>
  </sheetViews>
  <sheetFormatPr defaultRowHeight="14.5" x14ac:dyDescent="0.35"/>
  <cols>
    <col min="1" max="1" width="5.08984375" bestFit="1" customWidth="1"/>
  </cols>
  <sheetData>
    <row r="1" spans="1:3" x14ac:dyDescent="0.35">
      <c r="A1" s="3" t="s">
        <v>15</v>
      </c>
    </row>
    <row r="2" spans="1:3" x14ac:dyDescent="0.35">
      <c r="B2" t="s">
        <v>6</v>
      </c>
      <c r="C2" t="s">
        <v>44</v>
      </c>
    </row>
    <row r="3" spans="1:3" x14ac:dyDescent="0.35">
      <c r="B3" t="s">
        <v>43</v>
      </c>
    </row>
    <row r="4" spans="1:3" x14ac:dyDescent="0.35">
      <c r="B4" t="s">
        <v>41</v>
      </c>
    </row>
    <row r="5" spans="1:3" x14ac:dyDescent="0.35">
      <c r="B5" t="s">
        <v>42</v>
      </c>
    </row>
    <row r="6" spans="1:3" x14ac:dyDescent="0.35">
      <c r="B6" t="s">
        <v>9</v>
      </c>
    </row>
  </sheetData>
  <hyperlinks>
    <hyperlink ref="A1" location="Main!A1" display="Main" xr:uid="{DA190E58-46A5-4E73-BA33-37124B21810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Model</vt:lpstr>
      <vt:lpstr>BBP-418</vt:lpstr>
      <vt:lpstr>Attruby</vt:lpstr>
      <vt:lpstr>ATTC-CM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Medina</dc:creator>
  <cp:lastModifiedBy>Eduardo Medina Resende de Oliveira</cp:lastModifiedBy>
  <dcterms:created xsi:type="dcterms:W3CDTF">2015-06-05T18:17:20Z</dcterms:created>
  <dcterms:modified xsi:type="dcterms:W3CDTF">2025-08-06T22:34:39Z</dcterms:modified>
</cp:coreProperties>
</file>