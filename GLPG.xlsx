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516B151D-7AFA-4745-947C-E1C6035C74BE}" xr6:coauthVersionLast="47" xr6:coauthVersionMax="47" xr10:uidLastSave="{00000000-0000-0000-0000-000000000000}"/>
  <bookViews>
    <workbookView xWindow="19790" yWindow="4770" windowWidth="18180" windowHeight="13630" xr2:uid="{00000000-000D-0000-FFFF-FFFF00000000}"/>
  </bookViews>
  <sheets>
    <sheet name="Main" sheetId="1" r:id="rId1"/>
    <sheet name="GLPG510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6" i="1"/>
  <c r="J4" i="1"/>
</calcChain>
</file>

<file path=xl/sharedStrings.xml><?xml version="1.0" encoding="utf-8"?>
<sst xmlns="http://schemas.openxmlformats.org/spreadsheetml/2006/main" count="27" uniqueCount="24">
  <si>
    <t>Price</t>
  </si>
  <si>
    <t>Shares</t>
  </si>
  <si>
    <t>MC</t>
  </si>
  <si>
    <t>Cash</t>
  </si>
  <si>
    <t>Debt</t>
  </si>
  <si>
    <t>EV</t>
  </si>
  <si>
    <t>Name</t>
  </si>
  <si>
    <t>Indication</t>
  </si>
  <si>
    <t>MOA</t>
  </si>
  <si>
    <t>Enommics</t>
  </si>
  <si>
    <t>Approved</t>
  </si>
  <si>
    <t>GLPG1972</t>
  </si>
  <si>
    <t>GLPG1690</t>
  </si>
  <si>
    <t>GLPG5101</t>
  </si>
  <si>
    <t>CD19 CAR-T</t>
  </si>
  <si>
    <t>GLPG5301</t>
  </si>
  <si>
    <t>GLPG5885</t>
  </si>
  <si>
    <t>Asset 2</t>
  </si>
  <si>
    <t>Economics</t>
  </si>
  <si>
    <t>Clinical trials</t>
  </si>
  <si>
    <t>ATALANTA-1</t>
  </si>
  <si>
    <t>Uza-cel</t>
  </si>
  <si>
    <t>Asset3</t>
  </si>
  <si>
    <t>Asset4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</si>
</sst>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3"/>
  <sheetViews>
    <sheetView tabSelected="1" workbookViewId="0">
      <selection activeCell="E11" sqref="E11"/>
    </sheetView>
  </sheetViews>
  <sheetFormatPr defaultRowHeight="14.5" x14ac:dyDescent="0.35"/>
  <sheetData>
    <row r="2" spans="2:10" x14ac:dyDescent="0.35">
      <c r="B2" t="s">
        <v>6</v>
      </c>
      <c r="C2" t="s">
        <v>7</v>
      </c>
      <c r="D2" t="s">
        <v>8</v>
      </c>
      <c r="E2" t="s">
        <v>9</v>
      </c>
      <c r="F2" t="s">
        <v>10</v>
      </c>
      <c r="I2" t="s">
        <v>0</v>
      </c>
      <c r="J2">
        <v>34.21</v>
      </c>
    </row>
    <row r="3" spans="2:10" x14ac:dyDescent="0.35">
      <c r="I3" t="s">
        <v>1</v>
      </c>
      <c r="J3">
        <v>65.900000000000006</v>
      </c>
    </row>
    <row r="4" spans="2:10" x14ac:dyDescent="0.35">
      <c r="B4" t="s">
        <v>11</v>
      </c>
      <c r="I4" t="s">
        <v>2</v>
      </c>
      <c r="J4">
        <f>J2*J3</f>
        <v>2254.4390000000003</v>
      </c>
    </row>
    <row r="5" spans="2:10" x14ac:dyDescent="0.35">
      <c r="B5" t="s">
        <v>12</v>
      </c>
      <c r="I5" t="s">
        <v>3</v>
      </c>
      <c r="J5">
        <v>64</v>
      </c>
    </row>
    <row r="6" spans="2:10" x14ac:dyDescent="0.35">
      <c r="B6" t="s">
        <v>13</v>
      </c>
      <c r="D6" t="s">
        <v>14</v>
      </c>
      <c r="I6" t="s">
        <v>4</v>
      </c>
      <c r="J6">
        <f>3+8</f>
        <v>11</v>
      </c>
    </row>
    <row r="7" spans="2:10" x14ac:dyDescent="0.35">
      <c r="B7" t="s">
        <v>15</v>
      </c>
      <c r="I7" t="s">
        <v>5</v>
      </c>
      <c r="J7">
        <f>J4-J5+J6</f>
        <v>2201.4390000000003</v>
      </c>
    </row>
    <row r="8" spans="2:10" x14ac:dyDescent="0.35">
      <c r="B8" t="s">
        <v>16</v>
      </c>
    </row>
    <row r="9" spans="2:10" x14ac:dyDescent="0.35">
      <c r="B9" t="s">
        <v>17</v>
      </c>
    </row>
    <row r="11" spans="2:10" x14ac:dyDescent="0.35">
      <c r="B11" t="s">
        <v>21</v>
      </c>
    </row>
    <row r="12" spans="2:10" x14ac:dyDescent="0.35">
      <c r="B12" t="s">
        <v>22</v>
      </c>
    </row>
    <row r="13" spans="2:10" x14ac:dyDescent="0.35">
      <c r="B1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BF1D-D021-4A72-9609-197D5807304C}">
  <dimension ref="B2:C7"/>
  <sheetViews>
    <sheetView workbookViewId="0">
      <selection activeCell="D11" sqref="D11"/>
    </sheetView>
  </sheetViews>
  <sheetFormatPr defaultRowHeight="14.5" x14ac:dyDescent="0.35"/>
  <sheetData>
    <row r="2" spans="2:3" x14ac:dyDescent="0.35">
      <c r="B2" t="s">
        <v>6</v>
      </c>
    </row>
    <row r="3" spans="2:3" x14ac:dyDescent="0.35">
      <c r="B3" t="s">
        <v>7</v>
      </c>
    </row>
    <row r="4" spans="2:3" x14ac:dyDescent="0.35">
      <c r="B4" t="s">
        <v>8</v>
      </c>
    </row>
    <row r="5" spans="2:3" x14ac:dyDescent="0.35">
      <c r="B5" t="s">
        <v>18</v>
      </c>
    </row>
    <row r="6" spans="2:3" x14ac:dyDescent="0.35">
      <c r="B6" t="s">
        <v>19</v>
      </c>
    </row>
    <row r="7" spans="2:3" x14ac:dyDescent="0.35">
      <c r="C7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GLPG5101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2025-09-29T20:27:44Z</dcterms:modified>
</cp:coreProperties>
</file>