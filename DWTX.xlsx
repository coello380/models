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models\"/>
    </mc:Choice>
  </mc:AlternateContent>
  <xr:revisionPtr revIDLastSave="0" documentId="13_ncr:1_{EC538651-DA62-45A6-A119-F540AEE5C9E1}" xr6:coauthVersionLast="47" xr6:coauthVersionMax="47" xr10:uidLastSave="{00000000-0000-0000-0000-000000000000}"/>
  <bookViews>
    <workbookView xWindow="3100" yWindow="3120" windowWidth="17090" windowHeight="13750" activeTab="2" xr2:uid="{00000000-000D-0000-FFFF-FFFF00000000}"/>
  </bookViews>
  <sheets>
    <sheet name="Main" sheetId="1" r:id="rId1"/>
    <sheet name="IMC-2" sheetId="5" r:id="rId2"/>
    <sheet name="IMC-1" sheetId="4" r:id="rId3"/>
    <sheet name="Halneuron" sheetId="3" r:id="rId4"/>
    <sheet name="Model" sheetId="2" r:id="rId5"/>
    <sheet name="Literatur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4" l="1"/>
  <c r="E13" i="4"/>
  <c r="E11" i="4"/>
  <c r="H11" i="4"/>
  <c r="D12" i="2"/>
  <c r="D6" i="2"/>
  <c r="D10" i="2" s="1"/>
  <c r="E12" i="2"/>
  <c r="E6" i="2"/>
  <c r="E10" i="2" s="1"/>
  <c r="K10" i="1"/>
  <c r="K9" i="1"/>
  <c r="K7" i="1"/>
</calcChain>
</file>

<file path=xl/sharedStrings.xml><?xml version="1.0" encoding="utf-8"?>
<sst xmlns="http://schemas.openxmlformats.org/spreadsheetml/2006/main" count="89" uniqueCount="72">
  <si>
    <t>Price</t>
  </si>
  <si>
    <t>Shares</t>
  </si>
  <si>
    <t>MC</t>
  </si>
  <si>
    <t>Cash</t>
  </si>
  <si>
    <t>Debt</t>
  </si>
  <si>
    <t>EV</t>
  </si>
  <si>
    <t xml:space="preserve">Name </t>
  </si>
  <si>
    <t>Indication</t>
  </si>
  <si>
    <t>MOA</t>
  </si>
  <si>
    <t>Economics</t>
  </si>
  <si>
    <t>Mechanism</t>
  </si>
  <si>
    <t>Approved</t>
  </si>
  <si>
    <t>IP</t>
  </si>
  <si>
    <t>Phase</t>
  </si>
  <si>
    <t>Competition</t>
  </si>
  <si>
    <t>Main</t>
  </si>
  <si>
    <t>R&amp;D</t>
  </si>
  <si>
    <t>SG&amp;A</t>
  </si>
  <si>
    <t>Loss from operations</t>
  </si>
  <si>
    <t>Loss on debt conversion</t>
  </si>
  <si>
    <t>Interest (expense) income, net</t>
  </si>
  <si>
    <t>Exchange loss, net</t>
  </si>
  <si>
    <t>Loss before income taxes</t>
  </si>
  <si>
    <t>Deferred tax expense</t>
  </si>
  <si>
    <t>Net loss</t>
  </si>
  <si>
    <t>One time dividend</t>
  </si>
  <si>
    <t>EPS</t>
  </si>
  <si>
    <t>Q225</t>
  </si>
  <si>
    <t>Q224</t>
  </si>
  <si>
    <t>Revenue</t>
  </si>
  <si>
    <t xml:space="preserve">development sate pharma </t>
  </si>
  <si>
    <t>focuse on treat pain and fatigue-related disorders</t>
  </si>
  <si>
    <t>Halneuron</t>
  </si>
  <si>
    <t>IMC-1</t>
  </si>
  <si>
    <t>IMC-2</t>
  </si>
  <si>
    <t>nucleoside analog antivirals</t>
  </si>
  <si>
    <t>FM, LC</t>
  </si>
  <si>
    <t>II</t>
  </si>
  <si>
    <t>CINP</t>
  </si>
  <si>
    <t>highly purified Tetrodotoxin (TTX)</t>
  </si>
  <si>
    <t>TTX is found in puffer fish</t>
  </si>
  <si>
    <t>Name</t>
  </si>
  <si>
    <t>Pharathing</t>
  </si>
  <si>
    <t>analgesic throguh NA1.7 modulation</t>
  </si>
  <si>
    <t>Halneuron (highly purified Tetrodotoxin)</t>
  </si>
  <si>
    <t>note</t>
  </si>
  <si>
    <t>this is found in the ovaries of puffer fucking fish…</t>
  </si>
  <si>
    <t>Clinical Trials</t>
  </si>
  <si>
    <t>Phase II "HALT-CINP-203" n=200 efficacy of Halneuron on neuropathic pain</t>
  </si>
  <si>
    <t>average pain intensity after 4 weeks with Halneuron vs placebo</t>
  </si>
  <si>
    <t>mechanism</t>
  </si>
  <si>
    <t>Clinical trials</t>
  </si>
  <si>
    <t>famciclovir and celecoxib</t>
  </si>
  <si>
    <t>valavyclovir and celecoxib</t>
  </si>
  <si>
    <t>Wpstein-Barr virus (HHV-4)</t>
  </si>
  <si>
    <t>FM</t>
  </si>
  <si>
    <t>A famciclovir + celecoxib combination treatment is safe and efficacious in the treatment of fibromyalgia</t>
  </si>
  <si>
    <t>Pridgen, et al. 2017 DOI: 10.2147/JPR.S127288</t>
  </si>
  <si>
    <t>Week 16</t>
  </si>
  <si>
    <t>Phase II "FORTRESS" n=422 NCT01850420</t>
  </si>
  <si>
    <t>Mean pain</t>
  </si>
  <si>
    <t>Placebo</t>
  </si>
  <si>
    <t>FIQ-R</t>
  </si>
  <si>
    <t>Mixed Model Repeated Measures (MMRM)</t>
  </si>
  <si>
    <t>with and without imputation for missing data</t>
  </si>
  <si>
    <t>P=0.031</t>
  </si>
  <si>
    <t>p=0.001</t>
  </si>
  <si>
    <t>IMC-1 no imputation</t>
  </si>
  <si>
    <t>Placebo no imputation</t>
  </si>
  <si>
    <t>p=0.379</t>
  </si>
  <si>
    <t>p=0.016</t>
  </si>
  <si>
    <t>Phase 2 "FORTRESS"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</si>
</sst>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" fontId="0" fillId="0" borderId="0" xfId="0" applyNumberFormat="1"/>
    <xf numFmtId="0" fontId="0" fillId="0" borderId="1" xfId="0" applyBorder="1"/>
    <xf numFmtId="0" fontId="1" fillId="0" borderId="0" xfId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6350</xdr:colOff>
      <xdr:row>16</xdr:row>
      <xdr:rowOff>164162</xdr:rowOff>
    </xdr:from>
    <xdr:to>
      <xdr:col>15</xdr:col>
      <xdr:colOff>597265</xdr:colOff>
      <xdr:row>25</xdr:row>
      <xdr:rowOff>108087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864034-4982-4D49-ADEB-CC029B136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6000" y="3110562"/>
          <a:ext cx="4248515" cy="1601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15"/>
  <sheetViews>
    <sheetView workbookViewId="0">
      <selection activeCell="O11" sqref="O11"/>
    </sheetView>
  </sheetViews>
  <sheetFormatPr defaultRowHeight="14.5" x14ac:dyDescent="0.35"/>
  <cols>
    <col min="1" max="1" width="6.08984375" customWidth="1"/>
    <col min="4" max="4" width="35.54296875" bestFit="1" customWidth="1"/>
  </cols>
  <sheetData>
    <row r="3" spans="2:11" x14ac:dyDescent="0.35">
      <c r="B3" s="2" t="s">
        <v>6</v>
      </c>
      <c r="C3" s="2" t="s">
        <v>7</v>
      </c>
      <c r="D3" s="2" t="s">
        <v>10</v>
      </c>
      <c r="E3" s="2" t="s">
        <v>9</v>
      </c>
      <c r="F3" s="2" t="s">
        <v>11</v>
      </c>
      <c r="G3" s="2" t="s">
        <v>12</v>
      </c>
    </row>
    <row r="5" spans="2:11" x14ac:dyDescent="0.35">
      <c r="J5" t="s">
        <v>0</v>
      </c>
      <c r="K5">
        <v>4.8899999999999997</v>
      </c>
    </row>
    <row r="6" spans="2:11" x14ac:dyDescent="0.35">
      <c r="J6" t="s">
        <v>1</v>
      </c>
      <c r="K6">
        <v>1911</v>
      </c>
    </row>
    <row r="7" spans="2:11" x14ac:dyDescent="0.35">
      <c r="J7" t="s">
        <v>2</v>
      </c>
      <c r="K7" s="1">
        <f>K5*K6</f>
        <v>9344.7899999999991</v>
      </c>
    </row>
    <row r="8" spans="2:11" x14ac:dyDescent="0.35">
      <c r="B8" s="2"/>
      <c r="C8" s="2"/>
      <c r="D8" s="2"/>
      <c r="E8" s="2"/>
      <c r="F8" s="2" t="s">
        <v>13</v>
      </c>
      <c r="G8" s="2" t="s">
        <v>14</v>
      </c>
      <c r="J8" t="s">
        <v>3</v>
      </c>
      <c r="K8" s="1">
        <v>17</v>
      </c>
    </row>
    <row r="9" spans="2:11" x14ac:dyDescent="0.35">
      <c r="B9" s="3" t="s">
        <v>32</v>
      </c>
      <c r="C9" t="s">
        <v>38</v>
      </c>
      <c r="D9" t="s">
        <v>39</v>
      </c>
      <c r="F9" t="s">
        <v>37</v>
      </c>
      <c r="J9" t="s">
        <v>4</v>
      </c>
      <c r="K9" s="1">
        <f>2+11</f>
        <v>13</v>
      </c>
    </row>
    <row r="10" spans="2:11" x14ac:dyDescent="0.35">
      <c r="B10" s="3" t="s">
        <v>33</v>
      </c>
      <c r="C10" t="s">
        <v>36</v>
      </c>
      <c r="D10" t="s">
        <v>35</v>
      </c>
      <c r="J10" t="s">
        <v>5</v>
      </c>
      <c r="K10" s="1">
        <f>K7-K8+K9</f>
        <v>9340.7899999999991</v>
      </c>
    </row>
    <row r="11" spans="2:11" x14ac:dyDescent="0.35">
      <c r="B11" s="3" t="s">
        <v>34</v>
      </c>
      <c r="C11" t="s">
        <v>36</v>
      </c>
      <c r="D11" t="s">
        <v>35</v>
      </c>
    </row>
    <row r="12" spans="2:11" x14ac:dyDescent="0.35">
      <c r="J12" t="s">
        <v>30</v>
      </c>
    </row>
    <row r="13" spans="2:11" x14ac:dyDescent="0.35">
      <c r="J13" t="s">
        <v>31</v>
      </c>
    </row>
    <row r="15" spans="2:11" x14ac:dyDescent="0.35">
      <c r="J15" s="4" t="s">
        <v>40</v>
      </c>
    </row>
  </sheetData>
  <hyperlinks>
    <hyperlink ref="B9" location="Halneuron!A1" display="Halneuron" xr:uid="{4191CDBC-AEFE-4F94-A63D-3CBD951ACE60}"/>
    <hyperlink ref="B10" location="'IMC-1'!A1" display="IMC-1" xr:uid="{3667BA51-6C2C-481B-A1B4-E58FAEB2D8D5}"/>
    <hyperlink ref="B11" location="'IMC-2'!A1" display="IMC-2" xr:uid="{2FC91173-D7E1-44E6-8391-458DA04EA072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DB708-31B5-45A0-AE96-A569023A2FF2}">
  <dimension ref="A1:C7"/>
  <sheetViews>
    <sheetView workbookViewId="0">
      <selection activeCell="C11" sqref="C11"/>
    </sheetView>
  </sheetViews>
  <sheetFormatPr defaultRowHeight="14.5" x14ac:dyDescent="0.35"/>
  <cols>
    <col min="1" max="1" width="5.08984375" bestFit="1" customWidth="1"/>
  </cols>
  <sheetData>
    <row r="1" spans="1:3" x14ac:dyDescent="0.35">
      <c r="A1" s="3" t="s">
        <v>15</v>
      </c>
    </row>
    <row r="2" spans="1:3" x14ac:dyDescent="0.35">
      <c r="B2" t="s">
        <v>41</v>
      </c>
      <c r="C2" t="s">
        <v>34</v>
      </c>
    </row>
    <row r="3" spans="1:3" x14ac:dyDescent="0.35">
      <c r="B3" t="s">
        <v>7</v>
      </c>
      <c r="C3" t="s">
        <v>54</v>
      </c>
    </row>
    <row r="4" spans="1:3" x14ac:dyDescent="0.35">
      <c r="B4" t="s">
        <v>50</v>
      </c>
      <c r="C4" t="s">
        <v>53</v>
      </c>
    </row>
    <row r="5" spans="1:3" x14ac:dyDescent="0.35">
      <c r="B5" t="s">
        <v>51</v>
      </c>
    </row>
    <row r="7" spans="1:3" x14ac:dyDescent="0.35">
      <c r="C7" s="5" t="s">
        <v>71</v>
      </c>
    </row>
  </sheetData>
  <hyperlinks>
    <hyperlink ref="A1" location="Main!A1" display="Main" xr:uid="{AED7C8A2-12BA-431F-89E3-EDE1716F20E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C6B6D-D9B1-4D25-A957-1EDBC5AD944B}">
  <dimension ref="A1:K13"/>
  <sheetViews>
    <sheetView tabSelected="1" workbookViewId="0">
      <selection activeCell="H24" sqref="H24"/>
    </sheetView>
  </sheetViews>
  <sheetFormatPr defaultRowHeight="14.5" x14ac:dyDescent="0.35"/>
  <cols>
    <col min="1" max="1" width="5.08984375" bestFit="1" customWidth="1"/>
    <col min="3" max="3" width="35.81640625" bestFit="1" customWidth="1"/>
  </cols>
  <sheetData>
    <row r="1" spans="1:11" x14ac:dyDescent="0.35">
      <c r="A1" s="3" t="s">
        <v>15</v>
      </c>
    </row>
    <row r="2" spans="1:11" x14ac:dyDescent="0.35">
      <c r="B2" t="s">
        <v>41</v>
      </c>
      <c r="C2" t="s">
        <v>33</v>
      </c>
    </row>
    <row r="3" spans="1:11" x14ac:dyDescent="0.35">
      <c r="B3" t="s">
        <v>7</v>
      </c>
      <c r="C3" t="s">
        <v>55</v>
      </c>
      <c r="K3" t="s">
        <v>63</v>
      </c>
    </row>
    <row r="4" spans="1:11" x14ac:dyDescent="0.35">
      <c r="B4" t="s">
        <v>50</v>
      </c>
      <c r="C4" t="s">
        <v>52</v>
      </c>
      <c r="K4" t="s">
        <v>64</v>
      </c>
    </row>
    <row r="5" spans="1:11" x14ac:dyDescent="0.35">
      <c r="B5" t="s">
        <v>51</v>
      </c>
    </row>
    <row r="7" spans="1:11" x14ac:dyDescent="0.35">
      <c r="C7" s="5" t="s">
        <v>59</v>
      </c>
    </row>
    <row r="8" spans="1:11" x14ac:dyDescent="0.35">
      <c r="D8" t="s">
        <v>60</v>
      </c>
      <c r="G8" t="s">
        <v>62</v>
      </c>
    </row>
    <row r="9" spans="1:11" x14ac:dyDescent="0.35">
      <c r="D9" t="s">
        <v>58</v>
      </c>
      <c r="G9" t="s">
        <v>58</v>
      </c>
    </row>
    <row r="10" spans="1:11" x14ac:dyDescent="0.35">
      <c r="C10" t="s">
        <v>61</v>
      </c>
      <c r="D10">
        <v>-1.1000000000000001</v>
      </c>
      <c r="G10">
        <v>-0.92</v>
      </c>
    </row>
    <row r="11" spans="1:11" x14ac:dyDescent="0.35">
      <c r="C11" t="s">
        <v>33</v>
      </c>
      <c r="D11">
        <v>-1.9</v>
      </c>
      <c r="E11">
        <f>D11-$D$10</f>
        <v>-0.79999999999999982</v>
      </c>
      <c r="F11" t="s">
        <v>65</v>
      </c>
      <c r="G11">
        <v>-2.2000000000000002</v>
      </c>
      <c r="H11">
        <f>G11-G10</f>
        <v>-1.2800000000000002</v>
      </c>
      <c r="I11" t="s">
        <v>66</v>
      </c>
    </row>
    <row r="12" spans="1:11" x14ac:dyDescent="0.35">
      <c r="C12" t="s">
        <v>68</v>
      </c>
      <c r="D12">
        <v>-1.7</v>
      </c>
      <c r="G12">
        <v>-1.4</v>
      </c>
    </row>
    <row r="13" spans="1:11" x14ac:dyDescent="0.35">
      <c r="C13" t="s">
        <v>67</v>
      </c>
      <c r="D13">
        <v>-2</v>
      </c>
      <c r="E13">
        <f>D13-D12</f>
        <v>-0.30000000000000004</v>
      </c>
      <c r="F13" t="s">
        <v>69</v>
      </c>
      <c r="G13">
        <v>-2.5</v>
      </c>
      <c r="H13">
        <f>G13-G12</f>
        <v>-1.1000000000000001</v>
      </c>
      <c r="I13" t="s">
        <v>70</v>
      </c>
    </row>
  </sheetData>
  <hyperlinks>
    <hyperlink ref="A1" location="Main!A1" display="Main" xr:uid="{DCE56162-616E-4A55-A886-A91A6BCC637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66970-1E79-4868-A18B-4CC07517FA12}">
  <dimension ref="A1:L9"/>
  <sheetViews>
    <sheetView workbookViewId="0"/>
  </sheetViews>
  <sheetFormatPr defaultRowHeight="14.5" x14ac:dyDescent="0.35"/>
  <cols>
    <col min="1" max="1" width="5.08984375" bestFit="1" customWidth="1"/>
    <col min="2" max="2" width="9.81640625" bestFit="1" customWidth="1"/>
  </cols>
  <sheetData>
    <row r="1" spans="1:12" x14ac:dyDescent="0.35">
      <c r="A1" s="3" t="s">
        <v>15</v>
      </c>
    </row>
    <row r="2" spans="1:12" x14ac:dyDescent="0.35">
      <c r="B2" t="s">
        <v>41</v>
      </c>
      <c r="C2" t="s">
        <v>44</v>
      </c>
      <c r="L2" t="s">
        <v>45</v>
      </c>
    </row>
    <row r="3" spans="1:12" x14ac:dyDescent="0.35">
      <c r="B3" t="s">
        <v>8</v>
      </c>
      <c r="C3" t="s">
        <v>43</v>
      </c>
      <c r="L3" t="s">
        <v>46</v>
      </c>
    </row>
    <row r="4" spans="1:12" x14ac:dyDescent="0.35">
      <c r="B4" t="s">
        <v>7</v>
      </c>
    </row>
    <row r="5" spans="1:12" x14ac:dyDescent="0.35">
      <c r="B5" t="s">
        <v>42</v>
      </c>
    </row>
    <row r="6" spans="1:12" x14ac:dyDescent="0.35">
      <c r="B6" t="s">
        <v>47</v>
      </c>
    </row>
    <row r="8" spans="1:12" x14ac:dyDescent="0.35">
      <c r="C8" s="5" t="s">
        <v>48</v>
      </c>
    </row>
    <row r="9" spans="1:12" x14ac:dyDescent="0.35">
      <c r="C9" t="s">
        <v>49</v>
      </c>
    </row>
  </sheetData>
  <hyperlinks>
    <hyperlink ref="A1" location="Main!A1" display="Main" xr:uid="{9931A66C-BBA9-4F81-872F-8A1085E8453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488BA-9A2A-4D11-9870-6FBD12C3DAC8}">
  <dimension ref="A1:E1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5" sqref="D15"/>
    </sheetView>
  </sheetViews>
  <sheetFormatPr defaultRowHeight="14.5" x14ac:dyDescent="0.35"/>
  <cols>
    <col min="1" max="1" width="5.08984375" bestFit="1" customWidth="1"/>
    <col min="2" max="2" width="26.453125" bestFit="1" customWidth="1"/>
  </cols>
  <sheetData>
    <row r="1" spans="1:5" x14ac:dyDescent="0.35">
      <c r="A1" s="3" t="s">
        <v>15</v>
      </c>
    </row>
    <row r="2" spans="1:5" x14ac:dyDescent="0.35">
      <c r="D2" t="s">
        <v>28</v>
      </c>
      <c r="E2" t="s">
        <v>27</v>
      </c>
    </row>
    <row r="3" spans="1:5" x14ac:dyDescent="0.35">
      <c r="B3" t="s">
        <v>29</v>
      </c>
      <c r="D3" s="1">
        <v>0</v>
      </c>
      <c r="E3" s="1">
        <v>0</v>
      </c>
    </row>
    <row r="4" spans="1:5" x14ac:dyDescent="0.35">
      <c r="B4" t="s">
        <v>16</v>
      </c>
      <c r="D4" s="1">
        <v>0.34</v>
      </c>
      <c r="E4" s="1">
        <v>2.4</v>
      </c>
    </row>
    <row r="5" spans="1:5" x14ac:dyDescent="0.35">
      <c r="B5" t="s">
        <v>17</v>
      </c>
      <c r="D5" s="1">
        <v>0.97</v>
      </c>
      <c r="E5" s="1">
        <v>1.9</v>
      </c>
    </row>
    <row r="6" spans="1:5" x14ac:dyDescent="0.35">
      <c r="B6" t="s">
        <v>18</v>
      </c>
      <c r="D6" s="1">
        <f>D3-SUM(D4:D5)</f>
        <v>-1.31</v>
      </c>
      <c r="E6" s="1">
        <f>E3-SUM(E4:E5)</f>
        <v>-4.3</v>
      </c>
    </row>
    <row r="7" spans="1:5" x14ac:dyDescent="0.35">
      <c r="B7" t="s">
        <v>19</v>
      </c>
      <c r="D7" s="1">
        <v>0</v>
      </c>
      <c r="E7" s="1">
        <v>6.1</v>
      </c>
    </row>
    <row r="8" spans="1:5" x14ac:dyDescent="0.35">
      <c r="B8" t="s">
        <v>20</v>
      </c>
      <c r="D8" s="1">
        <v>0.22</v>
      </c>
      <c r="E8" s="1">
        <v>1</v>
      </c>
    </row>
    <row r="9" spans="1:5" x14ac:dyDescent="0.35">
      <c r="B9" t="s">
        <v>21</v>
      </c>
      <c r="D9" s="1">
        <v>0</v>
      </c>
      <c r="E9" s="1">
        <v>0</v>
      </c>
    </row>
    <row r="10" spans="1:5" x14ac:dyDescent="0.35">
      <c r="B10" t="s">
        <v>22</v>
      </c>
      <c r="D10" s="1">
        <f>D6-SUM(D7:D9)</f>
        <v>-1.53</v>
      </c>
      <c r="E10" s="1">
        <f>E6-SUM(E7:E9)</f>
        <v>-11.399999999999999</v>
      </c>
    </row>
    <row r="11" spans="1:5" x14ac:dyDescent="0.35">
      <c r="B11" t="s">
        <v>23</v>
      </c>
      <c r="D11" s="1">
        <v>0</v>
      </c>
      <c r="E11" s="1">
        <v>0.1</v>
      </c>
    </row>
    <row r="12" spans="1:5" x14ac:dyDescent="0.35">
      <c r="B12" t="s">
        <v>24</v>
      </c>
      <c r="D12" s="1">
        <f>D10-D11</f>
        <v>-1.53</v>
      </c>
      <c r="E12" s="1">
        <f>E10-E11</f>
        <v>-11.499999999999998</v>
      </c>
    </row>
    <row r="13" spans="1:5" x14ac:dyDescent="0.35">
      <c r="B13" t="s">
        <v>25</v>
      </c>
      <c r="D13" s="1">
        <v>0</v>
      </c>
      <c r="E13" s="1">
        <v>-1.2</v>
      </c>
    </row>
    <row r="14" spans="1:5" x14ac:dyDescent="0.35">
      <c r="B14" t="s">
        <v>26</v>
      </c>
      <c r="D14" s="1">
        <v>-1.68</v>
      </c>
      <c r="E14" s="1">
        <v>-8.4499999999999993</v>
      </c>
    </row>
  </sheetData>
  <hyperlinks>
    <hyperlink ref="A1" location="Main!A1" display="Main" xr:uid="{E01A65BD-C318-4992-BC6B-F424BECF610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87DA0-927E-48F9-BEC6-2CD79F692C81}">
  <dimension ref="A1:C3"/>
  <sheetViews>
    <sheetView workbookViewId="0">
      <selection activeCell="D9" sqref="D9"/>
    </sheetView>
  </sheetViews>
  <sheetFormatPr defaultRowHeight="14.5" x14ac:dyDescent="0.35"/>
  <cols>
    <col min="1" max="1" width="5.08984375" bestFit="1" customWidth="1"/>
  </cols>
  <sheetData>
    <row r="1" spans="1:3" x14ac:dyDescent="0.35">
      <c r="A1" s="3" t="s">
        <v>15</v>
      </c>
    </row>
    <row r="2" spans="1:3" x14ac:dyDescent="0.35">
      <c r="B2">
        <v>1</v>
      </c>
      <c r="C2" t="s">
        <v>56</v>
      </c>
    </row>
    <row r="3" spans="1:3" x14ac:dyDescent="0.35">
      <c r="C3" t="s">
        <v>57</v>
      </c>
    </row>
  </sheetData>
  <hyperlinks>
    <hyperlink ref="A1" location="Main!A1" display="Main" xr:uid="{4D70A08C-46E9-4218-9AF1-E9AE7F3230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IMC-2</vt:lpstr>
      <vt:lpstr>IMC-1</vt:lpstr>
      <vt:lpstr>Halneuron</vt:lpstr>
      <vt:lpstr>Model</vt:lpstr>
      <vt:lpstr>Literature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Medina</dc:creator>
  <cp:lastModifiedBy>Eduardo Medina Resende de Oliveira</cp:lastModifiedBy>
  <dcterms:created xsi:type="dcterms:W3CDTF">2015-06-05T18:17:20Z</dcterms:created>
  <dcterms:modified xsi:type="dcterms:W3CDTF">2025-08-10T20:21:41Z</dcterms:modified>
</cp:coreProperties>
</file>