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models\"/>
    </mc:Choice>
  </mc:AlternateContent>
  <xr:revisionPtr revIDLastSave="0" documentId="13_ncr:1_{2C35265D-C2DE-42B3-8505-52691023A7C3}" xr6:coauthVersionLast="47" xr6:coauthVersionMax="47" xr10:uidLastSave="{00000000-0000-0000-0000-000000000000}"/>
  <bookViews>
    <workbookView xWindow="740" yWindow="390" windowWidth="19200" windowHeight="20260" xr2:uid="{00000000-000D-0000-FFFF-FFFF00000000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8" i="2" l="1"/>
  <c r="F38" i="2"/>
  <c r="G38" i="2"/>
  <c r="N9" i="1"/>
  <c r="G37" i="2"/>
  <c r="F37" i="2"/>
  <c r="E37" i="2"/>
  <c r="G23" i="2"/>
  <c r="F23" i="2"/>
  <c r="G21" i="2"/>
  <c r="F21" i="2"/>
  <c r="G7" i="2"/>
  <c r="G8" i="2" s="1"/>
  <c r="G10" i="2" s="1"/>
  <c r="G12" i="2" s="1"/>
  <c r="F7" i="2"/>
  <c r="F8" i="2" s="1"/>
  <c r="F10" i="2" s="1"/>
  <c r="F12" i="2" s="1"/>
  <c r="E7" i="2"/>
  <c r="E8" i="2" s="1"/>
  <c r="E10" i="2" s="1"/>
  <c r="E12" i="2" s="1"/>
  <c r="F1" i="2"/>
  <c r="G1" i="2" s="1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X1" i="2" s="1"/>
  <c r="Y1" i="2" s="1"/>
  <c r="Z1" i="2" s="1"/>
  <c r="N7" i="1"/>
  <c r="N6" i="1"/>
  <c r="N5" i="1"/>
  <c r="N4" i="1"/>
  <c r="N3" i="1"/>
</calcChain>
</file>

<file path=xl/sharedStrings.xml><?xml version="1.0" encoding="utf-8"?>
<sst xmlns="http://schemas.openxmlformats.org/spreadsheetml/2006/main" count="52" uniqueCount="51">
  <si>
    <t>Price</t>
  </si>
  <si>
    <t>Shares</t>
  </si>
  <si>
    <t>MC</t>
  </si>
  <si>
    <t>Cash</t>
  </si>
  <si>
    <t>Debt</t>
  </si>
  <si>
    <t>EV</t>
  </si>
  <si>
    <t>DAUq</t>
  </si>
  <si>
    <t>million</t>
  </si>
  <si>
    <t>Contributor program</t>
  </si>
  <si>
    <t>Conversational data and Knowledge</t>
  </si>
  <si>
    <t>53% of Redditors from outside the US</t>
  </si>
  <si>
    <t>(53.7 million international)</t>
  </si>
  <si>
    <t>Monteization strategies</t>
  </si>
  <si>
    <t xml:space="preserve"> - advertising</t>
  </si>
  <si>
    <t xml:space="preserve"> - content licensing</t>
  </si>
  <si>
    <t xml:space="preserve"> - user economy</t>
  </si>
  <si>
    <t>Average revenue per unique (ARPU) of $4.21, 23% increase y/y</t>
  </si>
  <si>
    <t>Main</t>
  </si>
  <si>
    <t>Revenue</t>
  </si>
  <si>
    <t>Cost of revenue</t>
  </si>
  <si>
    <t>R&amp;D</t>
  </si>
  <si>
    <t>Sales and marketing</t>
  </si>
  <si>
    <t>general and administrative</t>
  </si>
  <si>
    <t>total costs and expenses</t>
  </si>
  <si>
    <t>Income (loss) from operations</t>
  </si>
  <si>
    <t>Other income (expense), net</t>
  </si>
  <si>
    <t>Income (loss) before income taxes</t>
  </si>
  <si>
    <t>Income tax expense (benefit)</t>
  </si>
  <si>
    <t>Net income (loss)</t>
  </si>
  <si>
    <t>numbers in millions</t>
  </si>
  <si>
    <t>revenue y/y</t>
  </si>
  <si>
    <t>r&amp;d y/y</t>
  </si>
  <si>
    <t>Cash flows from operations</t>
  </si>
  <si>
    <t>Depreciation and amortization</t>
  </si>
  <si>
    <t>Non_cash operating lease</t>
  </si>
  <si>
    <t>amortization of premium</t>
  </si>
  <si>
    <t>stock based compensation</t>
  </si>
  <si>
    <t>accounts receivable</t>
  </si>
  <si>
    <t>prepaid expenses and other assets</t>
  </si>
  <si>
    <t>operating lease right of use assets and liabilities</t>
  </si>
  <si>
    <t>accounts payable</t>
  </si>
  <si>
    <t>accrued expenses and other liabilities</t>
  </si>
  <si>
    <t>other adjustments</t>
  </si>
  <si>
    <t>CFO</t>
  </si>
  <si>
    <t>FCF</t>
  </si>
  <si>
    <t>Thesis:</t>
  </si>
  <si>
    <t>Value proposition of Reddit is unique, as it plays to niche interests and fully aligns with the bias of the user</t>
  </si>
  <si>
    <t>This is not available in any other platform. X is worst than it's ever been, fb is not a direct competitor, and same for ig</t>
  </si>
  <si>
    <t>Number of users is likely to grow as more people find out Rddt, and others migrate from other platforms.</t>
  </si>
  <si>
    <t>Revenue per user is also likely to increase as the company finds out how to monetize its platform</t>
  </si>
  <si>
    <t>An extra is that the founder is the CEO, always a plus.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</si>
</sst>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0" fontId="1" fillId="0" borderId="0" xfId="0" applyFont="1"/>
    <xf numFmtId="9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12700</xdr:colOff>
      <xdr:row>1</xdr:row>
      <xdr:rowOff>6350</xdr:rowOff>
    </xdr:from>
    <xdr:to>
      <xdr:col>7</xdr:col>
      <xdr:colOff>44450</xdr:colOff>
      <xdr:row>31</xdr:row>
      <xdr:rowOff>50800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8771707-F7A7-ABDE-621E-AB2BCD162783}"/>
            </a:ext>
          </a:extLst>
        </xdr:cNvPr>
        <xdr:cNvCxnSpPr/>
      </xdr:nvCxnSpPr>
      <xdr:spPr>
        <a:xfrm>
          <a:off x="4483100" y="190500"/>
          <a:ext cx="31750" cy="55689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22"/>
  <sheetViews>
    <sheetView tabSelected="1" workbookViewId="0">
      <selection activeCell="P16" sqref="P16"/>
    </sheetView>
  </sheetViews>
  <sheetFormatPr defaultRowHeight="14.5" x14ac:dyDescent="0.35"/>
  <cols>
    <col min="1" max="1" width="3.81640625" customWidth="1"/>
    <col min="14" max="14" width="10.81640625" bestFit="1" customWidth="1"/>
  </cols>
  <sheetData>
    <row r="2" spans="2:14" x14ac:dyDescent="0.35">
      <c r="B2" t="s">
        <v>6</v>
      </c>
      <c r="C2">
        <v>101.7</v>
      </c>
      <c r="D2" t="s">
        <v>7</v>
      </c>
      <c r="E2" t="s">
        <v>11</v>
      </c>
      <c r="M2" t="s">
        <v>0</v>
      </c>
      <c r="N2">
        <v>128</v>
      </c>
    </row>
    <row r="3" spans="2:14" x14ac:dyDescent="0.35">
      <c r="B3" t="s">
        <v>8</v>
      </c>
      <c r="M3" t="s">
        <v>1</v>
      </c>
      <c r="N3">
        <f>126+55</f>
        <v>181</v>
      </c>
    </row>
    <row r="4" spans="2:14" x14ac:dyDescent="0.35">
      <c r="B4" t="s">
        <v>9</v>
      </c>
      <c r="M4" t="s">
        <v>2</v>
      </c>
      <c r="N4" s="1">
        <f>N3*N2</f>
        <v>23168</v>
      </c>
    </row>
    <row r="5" spans="2:14" x14ac:dyDescent="0.35">
      <c r="B5" t="s">
        <v>10</v>
      </c>
      <c r="M5" t="s">
        <v>3</v>
      </c>
      <c r="N5">
        <f>562</f>
        <v>562</v>
      </c>
    </row>
    <row r="6" spans="2:14" x14ac:dyDescent="0.35">
      <c r="B6" t="s">
        <v>16</v>
      </c>
      <c r="M6" t="s">
        <v>4</v>
      </c>
      <c r="N6">
        <f>6+20</f>
        <v>26</v>
      </c>
    </row>
    <row r="7" spans="2:14" x14ac:dyDescent="0.35">
      <c r="M7" t="s">
        <v>5</v>
      </c>
      <c r="N7" s="1">
        <f>N4+N6-N5</f>
        <v>22632</v>
      </c>
    </row>
    <row r="9" spans="2:14" x14ac:dyDescent="0.35">
      <c r="B9" t="s">
        <v>12</v>
      </c>
      <c r="N9">
        <f>N4/Model!G2</f>
        <v>17.821538461538463</v>
      </c>
    </row>
    <row r="10" spans="2:14" x14ac:dyDescent="0.35">
      <c r="B10" t="s">
        <v>13</v>
      </c>
    </row>
    <row r="11" spans="2:14" x14ac:dyDescent="0.35">
      <c r="B11" t="s">
        <v>14</v>
      </c>
    </row>
    <row r="12" spans="2:14" x14ac:dyDescent="0.35">
      <c r="B12" t="s">
        <v>15</v>
      </c>
    </row>
    <row r="16" spans="2:14" x14ac:dyDescent="0.35">
      <c r="B16" s="4" t="s">
        <v>45</v>
      </c>
    </row>
    <row r="17" spans="2:2" x14ac:dyDescent="0.35">
      <c r="B17" t="s">
        <v>46</v>
      </c>
    </row>
    <row r="18" spans="2:2" x14ac:dyDescent="0.35">
      <c r="B18" t="s">
        <v>47</v>
      </c>
    </row>
    <row r="19" spans="2:2" x14ac:dyDescent="0.35">
      <c r="B19" t="s">
        <v>48</v>
      </c>
    </row>
    <row r="20" spans="2:2" x14ac:dyDescent="0.35">
      <c r="B20" t="s">
        <v>49</v>
      </c>
    </row>
    <row r="22" spans="2:2" x14ac:dyDescent="0.35">
      <c r="B22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CE954-F9A7-4C38-8F18-238DFFAB5BEF}">
  <dimension ref="A1:Z3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H37" sqref="H37"/>
    </sheetView>
  </sheetViews>
  <sheetFormatPr defaultRowHeight="14.5" x14ac:dyDescent="0.35"/>
  <cols>
    <col min="1" max="1" width="4.6328125" customWidth="1"/>
    <col min="2" max="4" width="33.1796875" customWidth="1"/>
  </cols>
  <sheetData>
    <row r="1" spans="1:26" x14ac:dyDescent="0.35">
      <c r="A1" t="s">
        <v>17</v>
      </c>
      <c r="B1" t="s">
        <v>29</v>
      </c>
      <c r="E1">
        <v>2022</v>
      </c>
      <c r="F1">
        <f>E1+1</f>
        <v>2023</v>
      </c>
      <c r="G1">
        <f t="shared" ref="G1:Z1" si="0">F1+1</f>
        <v>2024</v>
      </c>
      <c r="H1">
        <f t="shared" si="0"/>
        <v>2025</v>
      </c>
      <c r="I1">
        <f t="shared" si="0"/>
        <v>2026</v>
      </c>
      <c r="J1">
        <f t="shared" si="0"/>
        <v>2027</v>
      </c>
      <c r="K1">
        <f t="shared" si="0"/>
        <v>2028</v>
      </c>
      <c r="L1">
        <f t="shared" si="0"/>
        <v>2029</v>
      </c>
      <c r="M1">
        <f t="shared" si="0"/>
        <v>2030</v>
      </c>
      <c r="N1">
        <f t="shared" si="0"/>
        <v>2031</v>
      </c>
      <c r="O1">
        <f t="shared" si="0"/>
        <v>2032</v>
      </c>
      <c r="P1">
        <f t="shared" si="0"/>
        <v>2033</v>
      </c>
      <c r="Q1">
        <f t="shared" si="0"/>
        <v>2034</v>
      </c>
      <c r="R1">
        <f t="shared" si="0"/>
        <v>2035</v>
      </c>
      <c r="S1">
        <f t="shared" si="0"/>
        <v>2036</v>
      </c>
      <c r="T1">
        <f t="shared" si="0"/>
        <v>2037</v>
      </c>
      <c r="U1">
        <f t="shared" si="0"/>
        <v>2038</v>
      </c>
      <c r="V1">
        <f t="shared" si="0"/>
        <v>2039</v>
      </c>
      <c r="W1">
        <f t="shared" si="0"/>
        <v>2040</v>
      </c>
      <c r="X1">
        <f t="shared" si="0"/>
        <v>2041</v>
      </c>
      <c r="Y1">
        <f t="shared" si="0"/>
        <v>2042</v>
      </c>
      <c r="Z1">
        <f t="shared" si="0"/>
        <v>2043</v>
      </c>
    </row>
    <row r="2" spans="1:26" x14ac:dyDescent="0.35">
      <c r="B2" s="2" t="s">
        <v>18</v>
      </c>
      <c r="C2" s="2"/>
      <c r="D2" s="2"/>
      <c r="E2" s="2">
        <v>667</v>
      </c>
      <c r="F2">
        <v>804</v>
      </c>
      <c r="G2">
        <v>1300</v>
      </c>
    </row>
    <row r="3" spans="1:26" x14ac:dyDescent="0.35">
      <c r="B3" t="s">
        <v>19</v>
      </c>
      <c r="E3">
        <v>105</v>
      </c>
      <c r="F3">
        <v>111</v>
      </c>
      <c r="G3">
        <v>124</v>
      </c>
    </row>
    <row r="4" spans="1:26" x14ac:dyDescent="0.35">
      <c r="B4" t="s">
        <v>20</v>
      </c>
      <c r="E4">
        <v>365</v>
      </c>
      <c r="F4">
        <v>438</v>
      </c>
      <c r="G4">
        <v>935</v>
      </c>
    </row>
    <row r="5" spans="1:26" x14ac:dyDescent="0.35">
      <c r="B5" t="s">
        <v>21</v>
      </c>
      <c r="E5">
        <v>225</v>
      </c>
      <c r="F5">
        <v>230</v>
      </c>
      <c r="G5">
        <v>351</v>
      </c>
    </row>
    <row r="6" spans="1:26" x14ac:dyDescent="0.35">
      <c r="B6" t="s">
        <v>22</v>
      </c>
      <c r="E6">
        <v>144</v>
      </c>
      <c r="F6">
        <v>165</v>
      </c>
      <c r="G6">
        <v>451</v>
      </c>
    </row>
    <row r="7" spans="1:26" x14ac:dyDescent="0.35">
      <c r="B7" t="s">
        <v>23</v>
      </c>
      <c r="E7">
        <f>SUM(E3:E6)</f>
        <v>839</v>
      </c>
      <c r="F7">
        <f>SUM(F3:F6)</f>
        <v>944</v>
      </c>
      <c r="G7">
        <f>SUM(G3:G6)</f>
        <v>1861</v>
      </c>
    </row>
    <row r="8" spans="1:26" x14ac:dyDescent="0.35">
      <c r="B8" t="s">
        <v>24</v>
      </c>
      <c r="E8">
        <f>E2-E7</f>
        <v>-172</v>
      </c>
      <c r="F8">
        <f>F2-F7</f>
        <v>-140</v>
      </c>
      <c r="G8">
        <f>G2-G7</f>
        <v>-561</v>
      </c>
    </row>
    <row r="9" spans="1:26" x14ac:dyDescent="0.35">
      <c r="B9" t="s">
        <v>25</v>
      </c>
      <c r="E9">
        <v>14</v>
      </c>
      <c r="F9">
        <v>53</v>
      </c>
      <c r="G9">
        <v>75</v>
      </c>
    </row>
    <row r="10" spans="1:26" x14ac:dyDescent="0.35">
      <c r="B10" t="s">
        <v>26</v>
      </c>
      <c r="E10">
        <f>E8+E9</f>
        <v>-158</v>
      </c>
      <c r="F10">
        <f>F8+F9</f>
        <v>-87</v>
      </c>
      <c r="G10">
        <f>G8+G9</f>
        <v>-486</v>
      </c>
    </row>
    <row r="11" spans="1:26" x14ac:dyDescent="0.35">
      <c r="B11" t="s">
        <v>27</v>
      </c>
      <c r="E11">
        <v>1</v>
      </c>
      <c r="F11">
        <v>4</v>
      </c>
      <c r="G11">
        <v>-1</v>
      </c>
    </row>
    <row r="12" spans="1:26" x14ac:dyDescent="0.35">
      <c r="B12" t="s">
        <v>28</v>
      </c>
      <c r="E12">
        <f>E10-E11</f>
        <v>-159</v>
      </c>
      <c r="F12">
        <f>F10-F11</f>
        <v>-91</v>
      </c>
      <c r="G12">
        <f>G10-G11</f>
        <v>-485</v>
      </c>
    </row>
    <row r="21" spans="2:7" x14ac:dyDescent="0.35">
      <c r="B21" t="s">
        <v>30</v>
      </c>
      <c r="F21" s="3">
        <f>F2/E2-1</f>
        <v>0.20539730134932532</v>
      </c>
      <c r="G21" s="3">
        <f>G2/F2-1</f>
        <v>0.61691542288557222</v>
      </c>
    </row>
    <row r="23" spans="2:7" x14ac:dyDescent="0.35">
      <c r="B23" t="s">
        <v>31</v>
      </c>
      <c r="F23" s="3">
        <f>F4/E4-1</f>
        <v>0.19999999999999996</v>
      </c>
      <c r="G23" s="3">
        <f>G4/F4-1</f>
        <v>1.134703196347032</v>
      </c>
    </row>
    <row r="25" spans="2:7" x14ac:dyDescent="0.35">
      <c r="B25" s="2" t="s">
        <v>32</v>
      </c>
      <c r="C25" s="2"/>
      <c r="D25" s="2"/>
    </row>
    <row r="26" spans="2:7" x14ac:dyDescent="0.35">
      <c r="B26" t="s">
        <v>28</v>
      </c>
      <c r="E26">
        <v>-159</v>
      </c>
      <c r="F26">
        <v>-91</v>
      </c>
      <c r="G26">
        <v>-485</v>
      </c>
    </row>
    <row r="27" spans="2:7" x14ac:dyDescent="0.35">
      <c r="B27" t="s">
        <v>33</v>
      </c>
      <c r="E27">
        <v>8</v>
      </c>
      <c r="F27">
        <v>14</v>
      </c>
      <c r="G27">
        <v>16</v>
      </c>
    </row>
    <row r="28" spans="2:7" x14ac:dyDescent="0.35">
      <c r="B28" t="s">
        <v>34</v>
      </c>
      <c r="E28">
        <v>10</v>
      </c>
      <c r="F28">
        <v>11</v>
      </c>
      <c r="G28">
        <v>4</v>
      </c>
    </row>
    <row r="29" spans="2:7" x14ac:dyDescent="0.35">
      <c r="B29" t="s">
        <v>35</v>
      </c>
      <c r="E29">
        <v>-3</v>
      </c>
      <c r="F29">
        <v>-27</v>
      </c>
      <c r="G29">
        <v>-43</v>
      </c>
    </row>
    <row r="30" spans="2:7" x14ac:dyDescent="0.35">
      <c r="B30" t="s">
        <v>36</v>
      </c>
      <c r="E30">
        <v>55</v>
      </c>
      <c r="F30">
        <v>48</v>
      </c>
      <c r="G30">
        <v>801</v>
      </c>
    </row>
    <row r="31" spans="2:7" x14ac:dyDescent="0.35">
      <c r="B31" t="s">
        <v>42</v>
      </c>
      <c r="E31">
        <v>4</v>
      </c>
      <c r="F31">
        <v>0</v>
      </c>
      <c r="G31">
        <v>-4</v>
      </c>
    </row>
    <row r="32" spans="2:7" x14ac:dyDescent="0.35">
      <c r="B32" t="s">
        <v>37</v>
      </c>
      <c r="E32">
        <v>-30</v>
      </c>
      <c r="F32">
        <v>-53</v>
      </c>
      <c r="G32">
        <v>-104</v>
      </c>
    </row>
    <row r="33" spans="2:7" x14ac:dyDescent="0.35">
      <c r="B33" t="s">
        <v>38</v>
      </c>
      <c r="E33">
        <v>-2</v>
      </c>
      <c r="F33">
        <v>4</v>
      </c>
      <c r="G33">
        <v>-19</v>
      </c>
    </row>
    <row r="34" spans="2:7" x14ac:dyDescent="0.35">
      <c r="B34" t="s">
        <v>39</v>
      </c>
      <c r="E34">
        <v>-10</v>
      </c>
      <c r="F34">
        <v>-6</v>
      </c>
      <c r="G34">
        <v>-2</v>
      </c>
    </row>
    <row r="35" spans="2:7" x14ac:dyDescent="0.35">
      <c r="B35" t="s">
        <v>40</v>
      </c>
      <c r="E35">
        <v>11</v>
      </c>
      <c r="F35">
        <v>12</v>
      </c>
      <c r="G35">
        <v>-1</v>
      </c>
    </row>
    <row r="36" spans="2:7" x14ac:dyDescent="0.35">
      <c r="B36" t="s">
        <v>41</v>
      </c>
      <c r="E36">
        <v>21</v>
      </c>
      <c r="F36">
        <v>13</v>
      </c>
      <c r="G36">
        <v>59</v>
      </c>
    </row>
    <row r="37" spans="2:7" x14ac:dyDescent="0.35">
      <c r="B37" t="s">
        <v>43</v>
      </c>
      <c r="E37">
        <f>E26+SUM(E27:E36)</f>
        <v>-95</v>
      </c>
      <c r="F37">
        <f>F26+SUM(F27:F36)</f>
        <v>-75</v>
      </c>
      <c r="G37">
        <f>G26+SUM(G27:G36)</f>
        <v>222</v>
      </c>
    </row>
    <row r="38" spans="2:7" x14ac:dyDescent="0.35">
      <c r="B38" t="s">
        <v>44</v>
      </c>
      <c r="E38">
        <f>E37-6</f>
        <v>-101</v>
      </c>
      <c r="F38">
        <f>F37-10</f>
        <v>-85</v>
      </c>
      <c r="G38">
        <f>G37-6</f>
        <v>216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Medina</dc:creator>
  <cp:lastModifiedBy>Eduardo Medina Resende de Oliveira</cp:lastModifiedBy>
  <dcterms:created xsi:type="dcterms:W3CDTF">2015-06-05T18:17:20Z</dcterms:created>
  <dcterms:modified xsi:type="dcterms:W3CDTF">2025-03-22T18:11:40Z</dcterms:modified>
</cp:coreProperties>
</file>