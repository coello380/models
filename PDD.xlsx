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A322971C-534B-4D1F-B139-51FA562C816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2" i="2"/>
  <c r="J3" i="2"/>
  <c r="J2" i="2"/>
  <c r="Q5" i="1"/>
  <c r="I8" i="2"/>
  <c r="J8" i="2" s="1"/>
  <c r="K8" i="2" s="1"/>
  <c r="L8" i="2" s="1"/>
  <c r="I7" i="2"/>
  <c r="J7" i="2" s="1"/>
  <c r="K7" i="2" s="1"/>
  <c r="L7" i="2" s="1"/>
  <c r="I6" i="2"/>
  <c r="J6" i="2" s="1"/>
  <c r="K6" i="2" s="1"/>
  <c r="L6" i="2" s="1"/>
  <c r="I5" i="2"/>
  <c r="J5" i="2" s="1"/>
  <c r="K5" i="2" s="1"/>
  <c r="L5" i="2" s="1"/>
  <c r="I3" i="2"/>
  <c r="I2" i="2"/>
  <c r="L13" i="2"/>
  <c r="L12" i="2"/>
  <c r="L10" i="2"/>
  <c r="L11" i="2"/>
  <c r="K13" i="2"/>
  <c r="K12" i="2"/>
  <c r="K11" i="2"/>
  <c r="J13" i="2"/>
  <c r="J12" i="2"/>
  <c r="J11" i="2"/>
  <c r="G19" i="2"/>
  <c r="F19" i="2"/>
  <c r="H19" i="2"/>
  <c r="K10" i="2"/>
  <c r="J10" i="2"/>
  <c r="I4" i="2"/>
  <c r="I21" i="2" s="1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FC1" i="2" s="1"/>
  <c r="FD1" i="2" s="1"/>
  <c r="FE1" i="2" s="1"/>
  <c r="FF1" i="2" s="1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GI1" i="2" s="1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GT1" i="2" s="1"/>
  <c r="GU1" i="2" s="1"/>
  <c r="GV1" i="2" s="1"/>
  <c r="GW1" i="2" s="1"/>
  <c r="GX1" i="2" s="1"/>
  <c r="GY1" i="2" s="1"/>
  <c r="GZ1" i="2" s="1"/>
  <c r="HA1" i="2" s="1"/>
  <c r="HB1" i="2" s="1"/>
  <c r="HC1" i="2" s="1"/>
  <c r="HD1" i="2" s="1"/>
  <c r="HE1" i="2" s="1"/>
  <c r="HF1" i="2" s="1"/>
  <c r="HG1" i="2" s="1"/>
  <c r="HH1" i="2" s="1"/>
  <c r="HI1" i="2" s="1"/>
  <c r="HJ1" i="2" s="1"/>
  <c r="HK1" i="2" s="1"/>
  <c r="HL1" i="2" s="1"/>
  <c r="HM1" i="2" s="1"/>
  <c r="HN1" i="2" s="1"/>
  <c r="HO1" i="2" s="1"/>
  <c r="HP1" i="2" s="1"/>
  <c r="HQ1" i="2" s="1"/>
  <c r="HR1" i="2" s="1"/>
  <c r="HS1" i="2" s="1"/>
  <c r="HT1" i="2" s="1"/>
  <c r="HU1" i="2" s="1"/>
  <c r="HV1" i="2" s="1"/>
  <c r="HW1" i="2" s="1"/>
  <c r="HX1" i="2" s="1"/>
  <c r="HY1" i="2" s="1"/>
  <c r="HZ1" i="2" s="1"/>
  <c r="IA1" i="2" s="1"/>
  <c r="IB1" i="2" s="1"/>
  <c r="IC1" i="2" s="1"/>
  <c r="ID1" i="2" s="1"/>
  <c r="IE1" i="2" s="1"/>
  <c r="IF1" i="2" s="1"/>
  <c r="IG1" i="2" s="1"/>
  <c r="IH1" i="2" s="1"/>
  <c r="II1" i="2" s="1"/>
  <c r="IJ1" i="2" s="1"/>
  <c r="IK1" i="2" s="1"/>
  <c r="IL1" i="2" s="1"/>
  <c r="IM1" i="2" s="1"/>
  <c r="IN1" i="2" s="1"/>
  <c r="IO1" i="2" s="1"/>
  <c r="IP1" i="2" s="1"/>
  <c r="IQ1" i="2" s="1"/>
  <c r="IR1" i="2" s="1"/>
  <c r="IS1" i="2" s="1"/>
  <c r="IT1" i="2" s="1"/>
  <c r="IU1" i="2" s="1"/>
  <c r="IV1" i="2" s="1"/>
  <c r="IW1" i="2" s="1"/>
  <c r="IX1" i="2" s="1"/>
  <c r="IY1" i="2" s="1"/>
  <c r="IZ1" i="2" s="1"/>
  <c r="JA1" i="2" s="1"/>
  <c r="JB1" i="2" s="1"/>
  <c r="JC1" i="2" s="1"/>
  <c r="JD1" i="2" s="1"/>
  <c r="JE1" i="2" s="1"/>
  <c r="JF1" i="2" s="1"/>
  <c r="JG1" i="2" s="1"/>
  <c r="JH1" i="2" s="1"/>
  <c r="JI1" i="2" s="1"/>
  <c r="JJ1" i="2" s="1"/>
  <c r="JK1" i="2" s="1"/>
  <c r="JL1" i="2" s="1"/>
  <c r="JM1" i="2" s="1"/>
  <c r="JN1" i="2" s="1"/>
  <c r="JO1" i="2" s="1"/>
  <c r="H58" i="2"/>
  <c r="G58" i="2"/>
  <c r="H56" i="2"/>
  <c r="G56" i="2"/>
  <c r="F56" i="2"/>
  <c r="Q11" i="1"/>
  <c r="Q7" i="1"/>
  <c r="H52" i="2"/>
  <c r="H51" i="2"/>
  <c r="H47" i="2"/>
  <c r="H38" i="2"/>
  <c r="H37" i="2"/>
  <c r="H31" i="2"/>
  <c r="H22" i="2"/>
  <c r="G22" i="2"/>
  <c r="H17" i="2"/>
  <c r="G17" i="2"/>
  <c r="F17" i="2"/>
  <c r="H4" i="2"/>
  <c r="G4" i="2"/>
  <c r="G14" i="2"/>
  <c r="F14" i="2"/>
  <c r="H9" i="2"/>
  <c r="H14" i="2" s="1"/>
  <c r="G9" i="2"/>
  <c r="F9" i="2"/>
  <c r="H21" i="2"/>
  <c r="G21" i="2"/>
  <c r="F4" i="2"/>
  <c r="H1" i="2"/>
  <c r="G1" i="2"/>
  <c r="Q8" i="1"/>
  <c r="Q10" i="1" l="1"/>
  <c r="Q12" i="1"/>
  <c r="K4" i="2"/>
  <c r="L4" i="2" s="1"/>
  <c r="I9" i="2"/>
  <c r="I14" i="2" s="1"/>
  <c r="J4" i="2"/>
  <c r="J21" i="2" s="1"/>
  <c r="K9" i="2" l="1"/>
  <c r="K14" i="2" s="1"/>
  <c r="K15" i="2" s="1"/>
  <c r="K17" i="2" s="1"/>
  <c r="L21" i="2"/>
  <c r="L9" i="2"/>
  <c r="L14" i="2" s="1"/>
  <c r="L15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I15" i="2"/>
  <c r="I17" i="2" s="1"/>
  <c r="J9" i="2"/>
  <c r="J14" i="2" s="1"/>
  <c r="J15" i="2" s="1"/>
  <c r="J17" i="2" s="1"/>
  <c r="K21" i="2"/>
  <c r="Q24" i="2" l="1"/>
  <c r="Q25" i="2" s="1"/>
</calcChain>
</file>

<file path=xl/sharedStrings.xml><?xml version="1.0" encoding="utf-8"?>
<sst xmlns="http://schemas.openxmlformats.org/spreadsheetml/2006/main" count="74" uniqueCount="71">
  <si>
    <t>Price</t>
  </si>
  <si>
    <t>Shares</t>
  </si>
  <si>
    <t>MC</t>
  </si>
  <si>
    <t>Cash</t>
  </si>
  <si>
    <t>Debt</t>
  </si>
  <si>
    <t>EV</t>
  </si>
  <si>
    <t>???</t>
  </si>
  <si>
    <t>Q424</t>
  </si>
  <si>
    <t>Main</t>
  </si>
  <si>
    <t>multinational commerce group</t>
  </si>
  <si>
    <t>pinduoduo platform</t>
  </si>
  <si>
    <t>duo duo gorcery</t>
  </si>
  <si>
    <t>temu</t>
  </si>
  <si>
    <t>platforms:</t>
  </si>
  <si>
    <t>Revenues</t>
  </si>
  <si>
    <t>Transaction services</t>
  </si>
  <si>
    <t>Oline marketing services and others</t>
  </si>
  <si>
    <t>RMB thousands</t>
  </si>
  <si>
    <t>revenue growth y/y</t>
  </si>
  <si>
    <t>Cost of revenues</t>
  </si>
  <si>
    <t>Sales and marketing expenses</t>
  </si>
  <si>
    <t>General and administrative expenses</t>
  </si>
  <si>
    <t>R&amp;D</t>
  </si>
  <si>
    <t>Operating Profit</t>
  </si>
  <si>
    <t>Interest expenses</t>
  </si>
  <si>
    <t>Foreing exchange gain (loss)</t>
  </si>
  <si>
    <t>Other income, net</t>
  </si>
  <si>
    <t>Interest and investment income, net</t>
  </si>
  <si>
    <t>Profit  before income tax</t>
  </si>
  <si>
    <t>Income tax expenses</t>
  </si>
  <si>
    <t>Share of resuls of equity investees</t>
  </si>
  <si>
    <t>Net income</t>
  </si>
  <si>
    <t>net income growth y/y</t>
  </si>
  <si>
    <t>Cash and cash equivalents</t>
  </si>
  <si>
    <t>Restricted cash</t>
  </si>
  <si>
    <t>Receivables from online payment platforms</t>
  </si>
  <si>
    <t>Short-term investments</t>
  </si>
  <si>
    <t>Amounts due from related parties</t>
  </si>
  <si>
    <t>Prepayments and other current assets</t>
  </si>
  <si>
    <t>Total current assets</t>
  </si>
  <si>
    <t>PP&amp;E and software</t>
  </si>
  <si>
    <t>Intangible assets</t>
  </si>
  <si>
    <t>Right of use assets</t>
  </si>
  <si>
    <t>Deferred tax assets</t>
  </si>
  <si>
    <t>Other non-current assets</t>
  </si>
  <si>
    <t>Total non-current assets</t>
  </si>
  <si>
    <t>Total Assets</t>
  </si>
  <si>
    <t>Amounts due to related parties</t>
  </si>
  <si>
    <t>Customer advances and deferred revenues</t>
  </si>
  <si>
    <t>Payable to merchants</t>
  </si>
  <si>
    <t>Accrued expenses and other liabilities</t>
  </si>
  <si>
    <t>Merchant deposits</t>
  </si>
  <si>
    <t>Convertible bonds, current position</t>
  </si>
  <si>
    <t>Lease liabilities</t>
  </si>
  <si>
    <t>Total current liabilities</t>
  </si>
  <si>
    <t>Convertible bonds</t>
  </si>
  <si>
    <t>Deferred tax liabilities</t>
  </si>
  <si>
    <t>Total non-current liabilities</t>
  </si>
  <si>
    <t>Total liabilities</t>
  </si>
  <si>
    <t>rev multiple</t>
  </si>
  <si>
    <t>net income multiple</t>
  </si>
  <si>
    <t>CFO</t>
  </si>
  <si>
    <t>FCF</t>
  </si>
  <si>
    <t>Capex</t>
  </si>
  <si>
    <t>fcf growth y/y</t>
  </si>
  <si>
    <t>fcf multiple</t>
  </si>
  <si>
    <t>ROIC</t>
  </si>
  <si>
    <t>RATE</t>
  </si>
  <si>
    <t>NPV</t>
  </si>
  <si>
    <t>Share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</si>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</sst>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0" fontId="2" fillId="0" borderId="0" xfId="1"/>
    <xf numFmtId="10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0" fillId="0" borderId="0" xfId="0" applyNumberFormat="1"/>
    <xf numFmtId="8" fontId="0" fillId="0" borderId="0" xfId="0" applyNumberFormat="1"/>
    <xf numFmtId="9" fontId="0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</xdr:colOff>
      <xdr:row>1</xdr:row>
      <xdr:rowOff>51593</xdr:rowOff>
    </xdr:from>
    <xdr:to>
      <xdr:col>9</xdr:col>
      <xdr:colOff>17065</xdr:colOff>
      <xdr:row>22</xdr:row>
      <xdr:rowOff>130969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DF8E815-51D2-93B8-ABA9-178FBD67E1DF}"/>
            </a:ext>
          </a:extLst>
        </xdr:cNvPr>
        <xdr:cNvCxnSpPr/>
      </xdr:nvCxnSpPr>
      <xdr:spPr>
        <a:xfrm flipH="1">
          <a:off x="6992938" y="234156"/>
          <a:ext cx="1190" cy="3913188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2"/>
  <sheetViews>
    <sheetView workbookViewId="0">
      <selection activeCell="Q6" sqref="Q6"/>
    </sheetView>
  </sheetViews>
  <sheetFormatPr defaultRowHeight="14.5" x14ac:dyDescent="0.35"/>
  <cols>
    <col min="1" max="1" width="5.08984375" customWidth="1"/>
    <col min="11" max="11" width="13.36328125" bestFit="1" customWidth="1"/>
    <col min="17" max="17" width="9.81640625" bestFit="1" customWidth="1"/>
  </cols>
  <sheetData>
    <row r="2" spans="2:19" x14ac:dyDescent="0.35">
      <c r="B2" t="s">
        <v>9</v>
      </c>
    </row>
    <row r="3" spans="2:19" x14ac:dyDescent="0.35">
      <c r="B3" t="s">
        <v>13</v>
      </c>
      <c r="P3" t="s">
        <v>0</v>
      </c>
      <c r="Q3">
        <v>119</v>
      </c>
    </row>
    <row r="4" spans="2:19" x14ac:dyDescent="0.35">
      <c r="C4" t="s">
        <v>10</v>
      </c>
      <c r="P4" t="s">
        <v>1</v>
      </c>
      <c r="Q4">
        <v>5910</v>
      </c>
      <c r="R4" t="s">
        <v>6</v>
      </c>
      <c r="S4" t="s">
        <v>7</v>
      </c>
    </row>
    <row r="5" spans="2:19" x14ac:dyDescent="0.35">
      <c r="C5" t="s">
        <v>11</v>
      </c>
      <c r="P5" t="s">
        <v>2</v>
      </c>
      <c r="Q5" s="1">
        <f>Q3*Q4/4</f>
        <v>175822.5</v>
      </c>
    </row>
    <row r="6" spans="2:19" x14ac:dyDescent="0.35">
      <c r="C6" t="s">
        <v>12</v>
      </c>
      <c r="P6" t="s">
        <v>3</v>
      </c>
      <c r="Q6" s="1">
        <v>8421</v>
      </c>
      <c r="S6" t="s">
        <v>7</v>
      </c>
    </row>
    <row r="7" spans="2:19" x14ac:dyDescent="0.35">
      <c r="P7" t="s">
        <v>4</v>
      </c>
      <c r="Q7" s="4">
        <f>91+231+736+372</f>
        <v>1430</v>
      </c>
      <c r="S7" t="s">
        <v>7</v>
      </c>
    </row>
    <row r="8" spans="2:19" x14ac:dyDescent="0.35">
      <c r="P8" t="s">
        <v>5</v>
      </c>
      <c r="Q8" s="1">
        <f>Q5-Q6+Q7</f>
        <v>168831.5</v>
      </c>
    </row>
    <row r="10" spans="2:19" x14ac:dyDescent="0.35">
      <c r="P10" t="s">
        <v>59</v>
      </c>
      <c r="Q10">
        <f>Q5/34879</f>
        <v>5.0409272054818084</v>
      </c>
    </row>
    <row r="11" spans="2:19" x14ac:dyDescent="0.35">
      <c r="P11" t="s">
        <v>60</v>
      </c>
      <c r="Q11">
        <f>Q5/8454</f>
        <v>20.797551454932577</v>
      </c>
    </row>
    <row r="12" spans="2:19" x14ac:dyDescent="0.35">
      <c r="P12" t="s">
        <v>65</v>
      </c>
      <c r="Q12">
        <f>Q5/(13262-82)</f>
        <v>13.340098634294385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63D3-FF55-41C1-9ED6-30B9BD149C2F}">
  <dimension ref="A1:JO58"/>
  <sheetViews>
    <sheetView tabSelected="1" zoomScale="160" zoomScaleNormal="1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27" sqref="Q27"/>
    </sheetView>
  </sheetViews>
  <sheetFormatPr defaultRowHeight="14.5" x14ac:dyDescent="0.35"/>
  <cols>
    <col min="1" max="1" width="5.1796875" customWidth="1"/>
    <col min="2" max="2" width="30.90625" bestFit="1" customWidth="1"/>
    <col min="6" max="6" width="9" bestFit="1" customWidth="1"/>
    <col min="7" max="7" width="9.81640625" bestFit="1" customWidth="1"/>
    <col min="8" max="8" width="10" bestFit="1" customWidth="1"/>
    <col min="17" max="17" width="13.1796875" bestFit="1" customWidth="1"/>
  </cols>
  <sheetData>
    <row r="1" spans="1:275" x14ac:dyDescent="0.35">
      <c r="A1" s="2" t="s">
        <v>8</v>
      </c>
      <c r="B1" t="s">
        <v>17</v>
      </c>
      <c r="F1">
        <v>2021</v>
      </c>
      <c r="G1">
        <f>F1+1</f>
        <v>2022</v>
      </c>
      <c r="H1">
        <f>G1+1</f>
        <v>2023</v>
      </c>
      <c r="I1">
        <f t="shared" ref="I1:BT1" si="0">H1+1</f>
        <v>2024</v>
      </c>
      <c r="J1">
        <f t="shared" si="0"/>
        <v>2025</v>
      </c>
      <c r="K1">
        <f t="shared" si="0"/>
        <v>2026</v>
      </c>
      <c r="L1">
        <f t="shared" si="0"/>
        <v>2027</v>
      </c>
      <c r="M1">
        <f t="shared" si="0"/>
        <v>2028</v>
      </c>
      <c r="N1">
        <f t="shared" si="0"/>
        <v>2029</v>
      </c>
      <c r="O1">
        <f t="shared" si="0"/>
        <v>2030</v>
      </c>
      <c r="P1">
        <f t="shared" si="0"/>
        <v>2031</v>
      </c>
      <c r="Q1">
        <f t="shared" si="0"/>
        <v>2032</v>
      </c>
      <c r="R1">
        <f t="shared" si="0"/>
        <v>2033</v>
      </c>
      <c r="S1">
        <f t="shared" si="0"/>
        <v>2034</v>
      </c>
      <c r="T1">
        <f t="shared" si="0"/>
        <v>2035</v>
      </c>
      <c r="U1">
        <f t="shared" si="0"/>
        <v>2036</v>
      </c>
      <c r="V1">
        <f t="shared" si="0"/>
        <v>2037</v>
      </c>
      <c r="W1">
        <f t="shared" si="0"/>
        <v>2038</v>
      </c>
      <c r="X1">
        <f t="shared" si="0"/>
        <v>2039</v>
      </c>
      <c r="Y1">
        <f t="shared" si="0"/>
        <v>2040</v>
      </c>
      <c r="Z1">
        <f t="shared" si="0"/>
        <v>2041</v>
      </c>
      <c r="AA1">
        <f t="shared" si="0"/>
        <v>2042</v>
      </c>
      <c r="AB1">
        <f t="shared" si="0"/>
        <v>2043</v>
      </c>
      <c r="AC1">
        <f t="shared" si="0"/>
        <v>2044</v>
      </c>
      <c r="AD1">
        <f t="shared" si="0"/>
        <v>2045</v>
      </c>
      <c r="AE1">
        <f t="shared" si="0"/>
        <v>2046</v>
      </c>
      <c r="AF1">
        <f t="shared" si="0"/>
        <v>2047</v>
      </c>
      <c r="AG1">
        <f t="shared" si="0"/>
        <v>2048</v>
      </c>
      <c r="AH1">
        <f t="shared" si="0"/>
        <v>2049</v>
      </c>
      <c r="AI1">
        <f t="shared" si="0"/>
        <v>2050</v>
      </c>
      <c r="AJ1">
        <f t="shared" si="0"/>
        <v>2051</v>
      </c>
      <c r="AK1">
        <f t="shared" si="0"/>
        <v>2052</v>
      </c>
      <c r="AL1">
        <f t="shared" si="0"/>
        <v>2053</v>
      </c>
      <c r="AM1">
        <f t="shared" si="0"/>
        <v>2054</v>
      </c>
      <c r="AN1">
        <f t="shared" si="0"/>
        <v>2055</v>
      </c>
      <c r="AO1">
        <f t="shared" si="0"/>
        <v>2056</v>
      </c>
      <c r="AP1">
        <f t="shared" si="0"/>
        <v>2057</v>
      </c>
      <c r="AQ1">
        <f t="shared" si="0"/>
        <v>2058</v>
      </c>
      <c r="AR1">
        <f t="shared" si="0"/>
        <v>2059</v>
      </c>
      <c r="AS1">
        <f t="shared" si="0"/>
        <v>2060</v>
      </c>
      <c r="AT1">
        <f t="shared" si="0"/>
        <v>2061</v>
      </c>
      <c r="AU1">
        <f t="shared" si="0"/>
        <v>2062</v>
      </c>
      <c r="AV1">
        <f t="shared" si="0"/>
        <v>2063</v>
      </c>
      <c r="AW1">
        <f t="shared" si="0"/>
        <v>2064</v>
      </c>
      <c r="AX1">
        <f t="shared" si="0"/>
        <v>2065</v>
      </c>
      <c r="AY1">
        <f t="shared" si="0"/>
        <v>2066</v>
      </c>
      <c r="AZ1">
        <f t="shared" si="0"/>
        <v>2067</v>
      </c>
      <c r="BA1">
        <f t="shared" si="0"/>
        <v>2068</v>
      </c>
      <c r="BB1">
        <f t="shared" si="0"/>
        <v>2069</v>
      </c>
      <c r="BC1">
        <f t="shared" si="0"/>
        <v>2070</v>
      </c>
      <c r="BD1">
        <f t="shared" si="0"/>
        <v>2071</v>
      </c>
      <c r="BE1">
        <f t="shared" si="0"/>
        <v>2072</v>
      </c>
      <c r="BF1">
        <f t="shared" si="0"/>
        <v>2073</v>
      </c>
      <c r="BG1">
        <f t="shared" si="0"/>
        <v>2074</v>
      </c>
      <c r="BH1">
        <f t="shared" si="0"/>
        <v>2075</v>
      </c>
      <c r="BI1">
        <f t="shared" si="0"/>
        <v>2076</v>
      </c>
      <c r="BJ1">
        <f t="shared" si="0"/>
        <v>2077</v>
      </c>
      <c r="BK1">
        <f t="shared" si="0"/>
        <v>2078</v>
      </c>
      <c r="BL1">
        <f t="shared" si="0"/>
        <v>2079</v>
      </c>
      <c r="BM1">
        <f t="shared" si="0"/>
        <v>2080</v>
      </c>
      <c r="BN1">
        <f t="shared" si="0"/>
        <v>2081</v>
      </c>
      <c r="BO1">
        <f t="shared" si="0"/>
        <v>2082</v>
      </c>
      <c r="BP1">
        <f t="shared" si="0"/>
        <v>2083</v>
      </c>
      <c r="BQ1">
        <f t="shared" si="0"/>
        <v>2084</v>
      </c>
      <c r="BR1">
        <f t="shared" si="0"/>
        <v>2085</v>
      </c>
      <c r="BS1">
        <f t="shared" si="0"/>
        <v>2086</v>
      </c>
      <c r="BT1">
        <f t="shared" si="0"/>
        <v>2087</v>
      </c>
      <c r="BU1">
        <f t="shared" ref="BU1:EF1" si="1">BT1+1</f>
        <v>2088</v>
      </c>
      <c r="BV1">
        <f t="shared" si="1"/>
        <v>2089</v>
      </c>
      <c r="BW1">
        <f t="shared" si="1"/>
        <v>2090</v>
      </c>
      <c r="BX1">
        <f t="shared" si="1"/>
        <v>2091</v>
      </c>
      <c r="BY1">
        <f t="shared" si="1"/>
        <v>2092</v>
      </c>
      <c r="BZ1">
        <f t="shared" si="1"/>
        <v>2093</v>
      </c>
      <c r="CA1">
        <f t="shared" si="1"/>
        <v>2094</v>
      </c>
      <c r="CB1">
        <f t="shared" si="1"/>
        <v>2095</v>
      </c>
      <c r="CC1">
        <f t="shared" si="1"/>
        <v>2096</v>
      </c>
      <c r="CD1">
        <f t="shared" si="1"/>
        <v>2097</v>
      </c>
      <c r="CE1">
        <f t="shared" si="1"/>
        <v>2098</v>
      </c>
      <c r="CF1">
        <f t="shared" si="1"/>
        <v>2099</v>
      </c>
      <c r="CG1">
        <f t="shared" si="1"/>
        <v>2100</v>
      </c>
      <c r="CH1">
        <f t="shared" si="1"/>
        <v>2101</v>
      </c>
      <c r="CI1">
        <f t="shared" si="1"/>
        <v>2102</v>
      </c>
      <c r="CJ1">
        <f t="shared" si="1"/>
        <v>2103</v>
      </c>
      <c r="CK1">
        <f t="shared" si="1"/>
        <v>2104</v>
      </c>
      <c r="CL1">
        <f t="shared" si="1"/>
        <v>2105</v>
      </c>
      <c r="CM1">
        <f t="shared" si="1"/>
        <v>2106</v>
      </c>
      <c r="CN1">
        <f t="shared" si="1"/>
        <v>2107</v>
      </c>
      <c r="CO1">
        <f t="shared" si="1"/>
        <v>2108</v>
      </c>
      <c r="CP1">
        <f t="shared" si="1"/>
        <v>2109</v>
      </c>
      <c r="CQ1">
        <f t="shared" si="1"/>
        <v>2110</v>
      </c>
      <c r="CR1">
        <f t="shared" si="1"/>
        <v>2111</v>
      </c>
      <c r="CS1">
        <f t="shared" si="1"/>
        <v>2112</v>
      </c>
      <c r="CT1">
        <f t="shared" si="1"/>
        <v>2113</v>
      </c>
      <c r="CU1">
        <f t="shared" si="1"/>
        <v>2114</v>
      </c>
      <c r="CV1">
        <f t="shared" si="1"/>
        <v>2115</v>
      </c>
      <c r="CW1">
        <f t="shared" si="1"/>
        <v>2116</v>
      </c>
      <c r="CX1">
        <f t="shared" si="1"/>
        <v>2117</v>
      </c>
      <c r="CY1">
        <f t="shared" si="1"/>
        <v>2118</v>
      </c>
      <c r="CZ1">
        <f t="shared" si="1"/>
        <v>2119</v>
      </c>
      <c r="DA1">
        <f t="shared" si="1"/>
        <v>2120</v>
      </c>
      <c r="DB1">
        <f t="shared" si="1"/>
        <v>2121</v>
      </c>
      <c r="DC1">
        <f t="shared" si="1"/>
        <v>2122</v>
      </c>
      <c r="DD1">
        <f t="shared" si="1"/>
        <v>2123</v>
      </c>
      <c r="DE1">
        <f t="shared" si="1"/>
        <v>2124</v>
      </c>
      <c r="DF1">
        <f t="shared" si="1"/>
        <v>2125</v>
      </c>
      <c r="DG1">
        <f t="shared" si="1"/>
        <v>2126</v>
      </c>
      <c r="DH1">
        <f t="shared" si="1"/>
        <v>2127</v>
      </c>
      <c r="DI1">
        <f t="shared" si="1"/>
        <v>2128</v>
      </c>
      <c r="DJ1">
        <f t="shared" si="1"/>
        <v>2129</v>
      </c>
      <c r="DK1">
        <f t="shared" si="1"/>
        <v>2130</v>
      </c>
      <c r="DL1">
        <f t="shared" si="1"/>
        <v>2131</v>
      </c>
      <c r="DM1">
        <f t="shared" si="1"/>
        <v>2132</v>
      </c>
      <c r="DN1">
        <f t="shared" si="1"/>
        <v>2133</v>
      </c>
      <c r="DO1">
        <f t="shared" si="1"/>
        <v>2134</v>
      </c>
      <c r="DP1">
        <f t="shared" si="1"/>
        <v>2135</v>
      </c>
      <c r="DQ1">
        <f t="shared" si="1"/>
        <v>2136</v>
      </c>
      <c r="DR1">
        <f t="shared" si="1"/>
        <v>2137</v>
      </c>
      <c r="DS1">
        <f t="shared" si="1"/>
        <v>2138</v>
      </c>
      <c r="DT1">
        <f t="shared" si="1"/>
        <v>2139</v>
      </c>
      <c r="DU1">
        <f t="shared" si="1"/>
        <v>2140</v>
      </c>
      <c r="DV1">
        <f t="shared" si="1"/>
        <v>2141</v>
      </c>
      <c r="DW1">
        <f t="shared" si="1"/>
        <v>2142</v>
      </c>
      <c r="DX1">
        <f t="shared" si="1"/>
        <v>2143</v>
      </c>
      <c r="DY1">
        <f t="shared" si="1"/>
        <v>2144</v>
      </c>
      <c r="DZ1">
        <f t="shared" si="1"/>
        <v>2145</v>
      </c>
      <c r="EA1">
        <f t="shared" si="1"/>
        <v>2146</v>
      </c>
      <c r="EB1">
        <f t="shared" si="1"/>
        <v>2147</v>
      </c>
      <c r="EC1">
        <f t="shared" si="1"/>
        <v>2148</v>
      </c>
      <c r="ED1">
        <f t="shared" si="1"/>
        <v>2149</v>
      </c>
      <c r="EE1">
        <f t="shared" si="1"/>
        <v>2150</v>
      </c>
      <c r="EF1">
        <f t="shared" si="1"/>
        <v>2151</v>
      </c>
      <c r="EG1">
        <f t="shared" ref="EG1:GR1" si="2">EF1+1</f>
        <v>2152</v>
      </c>
      <c r="EH1">
        <f t="shared" si="2"/>
        <v>2153</v>
      </c>
      <c r="EI1">
        <f t="shared" si="2"/>
        <v>2154</v>
      </c>
      <c r="EJ1">
        <f t="shared" si="2"/>
        <v>2155</v>
      </c>
      <c r="EK1">
        <f t="shared" si="2"/>
        <v>2156</v>
      </c>
      <c r="EL1">
        <f t="shared" si="2"/>
        <v>2157</v>
      </c>
      <c r="EM1">
        <f t="shared" si="2"/>
        <v>2158</v>
      </c>
      <c r="EN1">
        <f t="shared" si="2"/>
        <v>2159</v>
      </c>
      <c r="EO1">
        <f t="shared" si="2"/>
        <v>2160</v>
      </c>
      <c r="EP1">
        <f t="shared" si="2"/>
        <v>2161</v>
      </c>
      <c r="EQ1">
        <f t="shared" si="2"/>
        <v>2162</v>
      </c>
      <c r="ER1">
        <f t="shared" si="2"/>
        <v>2163</v>
      </c>
      <c r="ES1">
        <f t="shared" si="2"/>
        <v>2164</v>
      </c>
      <c r="ET1">
        <f t="shared" si="2"/>
        <v>2165</v>
      </c>
      <c r="EU1">
        <f t="shared" si="2"/>
        <v>2166</v>
      </c>
      <c r="EV1">
        <f t="shared" si="2"/>
        <v>2167</v>
      </c>
      <c r="EW1">
        <f t="shared" si="2"/>
        <v>2168</v>
      </c>
      <c r="EX1">
        <f t="shared" si="2"/>
        <v>2169</v>
      </c>
      <c r="EY1">
        <f t="shared" si="2"/>
        <v>2170</v>
      </c>
      <c r="EZ1">
        <f t="shared" si="2"/>
        <v>2171</v>
      </c>
      <c r="FA1">
        <f t="shared" si="2"/>
        <v>2172</v>
      </c>
      <c r="FB1">
        <f t="shared" si="2"/>
        <v>2173</v>
      </c>
      <c r="FC1">
        <f t="shared" si="2"/>
        <v>2174</v>
      </c>
      <c r="FD1">
        <f t="shared" si="2"/>
        <v>2175</v>
      </c>
      <c r="FE1">
        <f t="shared" si="2"/>
        <v>2176</v>
      </c>
      <c r="FF1">
        <f t="shared" si="2"/>
        <v>2177</v>
      </c>
      <c r="FG1">
        <f t="shared" si="2"/>
        <v>2178</v>
      </c>
      <c r="FH1">
        <f t="shared" si="2"/>
        <v>2179</v>
      </c>
      <c r="FI1">
        <f t="shared" si="2"/>
        <v>2180</v>
      </c>
      <c r="FJ1">
        <f t="shared" si="2"/>
        <v>2181</v>
      </c>
      <c r="FK1">
        <f t="shared" si="2"/>
        <v>2182</v>
      </c>
      <c r="FL1">
        <f t="shared" si="2"/>
        <v>2183</v>
      </c>
      <c r="FM1">
        <f t="shared" si="2"/>
        <v>2184</v>
      </c>
      <c r="FN1">
        <f t="shared" si="2"/>
        <v>2185</v>
      </c>
      <c r="FO1">
        <f t="shared" si="2"/>
        <v>2186</v>
      </c>
      <c r="FP1">
        <f t="shared" si="2"/>
        <v>2187</v>
      </c>
      <c r="FQ1">
        <f t="shared" si="2"/>
        <v>2188</v>
      </c>
      <c r="FR1">
        <f t="shared" si="2"/>
        <v>2189</v>
      </c>
      <c r="FS1">
        <f t="shared" si="2"/>
        <v>2190</v>
      </c>
      <c r="FT1">
        <f t="shared" si="2"/>
        <v>2191</v>
      </c>
      <c r="FU1">
        <f t="shared" si="2"/>
        <v>2192</v>
      </c>
      <c r="FV1">
        <f t="shared" si="2"/>
        <v>2193</v>
      </c>
      <c r="FW1">
        <f t="shared" si="2"/>
        <v>2194</v>
      </c>
      <c r="FX1">
        <f t="shared" si="2"/>
        <v>2195</v>
      </c>
      <c r="FY1">
        <f t="shared" si="2"/>
        <v>2196</v>
      </c>
      <c r="FZ1">
        <f t="shared" si="2"/>
        <v>2197</v>
      </c>
      <c r="GA1">
        <f t="shared" si="2"/>
        <v>2198</v>
      </c>
      <c r="GB1">
        <f t="shared" si="2"/>
        <v>2199</v>
      </c>
      <c r="GC1">
        <f t="shared" si="2"/>
        <v>2200</v>
      </c>
      <c r="GD1">
        <f t="shared" si="2"/>
        <v>2201</v>
      </c>
      <c r="GE1">
        <f t="shared" si="2"/>
        <v>2202</v>
      </c>
      <c r="GF1">
        <f t="shared" si="2"/>
        <v>2203</v>
      </c>
      <c r="GG1">
        <f t="shared" si="2"/>
        <v>2204</v>
      </c>
      <c r="GH1">
        <f t="shared" si="2"/>
        <v>2205</v>
      </c>
      <c r="GI1">
        <f t="shared" si="2"/>
        <v>2206</v>
      </c>
      <c r="GJ1">
        <f t="shared" si="2"/>
        <v>2207</v>
      </c>
      <c r="GK1">
        <f t="shared" si="2"/>
        <v>2208</v>
      </c>
      <c r="GL1">
        <f t="shared" si="2"/>
        <v>2209</v>
      </c>
      <c r="GM1">
        <f t="shared" si="2"/>
        <v>2210</v>
      </c>
      <c r="GN1">
        <f t="shared" si="2"/>
        <v>2211</v>
      </c>
      <c r="GO1">
        <f t="shared" si="2"/>
        <v>2212</v>
      </c>
      <c r="GP1">
        <f t="shared" si="2"/>
        <v>2213</v>
      </c>
      <c r="GQ1">
        <f t="shared" si="2"/>
        <v>2214</v>
      </c>
      <c r="GR1">
        <f t="shared" si="2"/>
        <v>2215</v>
      </c>
      <c r="GS1">
        <f t="shared" ref="GS1:JD1" si="3">GR1+1</f>
        <v>2216</v>
      </c>
      <c r="GT1">
        <f t="shared" si="3"/>
        <v>2217</v>
      </c>
      <c r="GU1">
        <f t="shared" si="3"/>
        <v>2218</v>
      </c>
      <c r="GV1">
        <f t="shared" si="3"/>
        <v>2219</v>
      </c>
      <c r="GW1">
        <f t="shared" si="3"/>
        <v>2220</v>
      </c>
      <c r="GX1">
        <f t="shared" si="3"/>
        <v>2221</v>
      </c>
      <c r="GY1">
        <f t="shared" si="3"/>
        <v>2222</v>
      </c>
      <c r="GZ1">
        <f t="shared" si="3"/>
        <v>2223</v>
      </c>
      <c r="HA1">
        <f t="shared" si="3"/>
        <v>2224</v>
      </c>
      <c r="HB1">
        <f t="shared" si="3"/>
        <v>2225</v>
      </c>
      <c r="HC1">
        <f t="shared" si="3"/>
        <v>2226</v>
      </c>
      <c r="HD1">
        <f t="shared" si="3"/>
        <v>2227</v>
      </c>
      <c r="HE1">
        <f t="shared" si="3"/>
        <v>2228</v>
      </c>
      <c r="HF1">
        <f t="shared" si="3"/>
        <v>2229</v>
      </c>
      <c r="HG1">
        <f t="shared" si="3"/>
        <v>2230</v>
      </c>
      <c r="HH1">
        <f t="shared" si="3"/>
        <v>2231</v>
      </c>
      <c r="HI1">
        <f t="shared" si="3"/>
        <v>2232</v>
      </c>
      <c r="HJ1">
        <f t="shared" si="3"/>
        <v>2233</v>
      </c>
      <c r="HK1">
        <f t="shared" si="3"/>
        <v>2234</v>
      </c>
      <c r="HL1">
        <f t="shared" si="3"/>
        <v>2235</v>
      </c>
      <c r="HM1">
        <f t="shared" si="3"/>
        <v>2236</v>
      </c>
      <c r="HN1">
        <f t="shared" si="3"/>
        <v>2237</v>
      </c>
      <c r="HO1">
        <f t="shared" si="3"/>
        <v>2238</v>
      </c>
      <c r="HP1">
        <f t="shared" si="3"/>
        <v>2239</v>
      </c>
      <c r="HQ1">
        <f t="shared" si="3"/>
        <v>2240</v>
      </c>
      <c r="HR1">
        <f t="shared" si="3"/>
        <v>2241</v>
      </c>
      <c r="HS1">
        <f t="shared" si="3"/>
        <v>2242</v>
      </c>
      <c r="HT1">
        <f t="shared" si="3"/>
        <v>2243</v>
      </c>
      <c r="HU1">
        <f t="shared" si="3"/>
        <v>2244</v>
      </c>
      <c r="HV1">
        <f t="shared" si="3"/>
        <v>2245</v>
      </c>
      <c r="HW1">
        <f t="shared" si="3"/>
        <v>2246</v>
      </c>
      <c r="HX1">
        <f t="shared" si="3"/>
        <v>2247</v>
      </c>
      <c r="HY1">
        <f t="shared" si="3"/>
        <v>2248</v>
      </c>
      <c r="HZ1">
        <f t="shared" si="3"/>
        <v>2249</v>
      </c>
      <c r="IA1">
        <f t="shared" si="3"/>
        <v>2250</v>
      </c>
      <c r="IB1">
        <f t="shared" si="3"/>
        <v>2251</v>
      </c>
      <c r="IC1">
        <f t="shared" si="3"/>
        <v>2252</v>
      </c>
      <c r="ID1">
        <f t="shared" si="3"/>
        <v>2253</v>
      </c>
      <c r="IE1">
        <f t="shared" si="3"/>
        <v>2254</v>
      </c>
      <c r="IF1">
        <f t="shared" si="3"/>
        <v>2255</v>
      </c>
      <c r="IG1">
        <f t="shared" si="3"/>
        <v>2256</v>
      </c>
      <c r="IH1">
        <f t="shared" si="3"/>
        <v>2257</v>
      </c>
      <c r="II1">
        <f t="shared" si="3"/>
        <v>2258</v>
      </c>
      <c r="IJ1">
        <f t="shared" si="3"/>
        <v>2259</v>
      </c>
      <c r="IK1">
        <f t="shared" si="3"/>
        <v>2260</v>
      </c>
      <c r="IL1">
        <f t="shared" si="3"/>
        <v>2261</v>
      </c>
      <c r="IM1">
        <f t="shared" si="3"/>
        <v>2262</v>
      </c>
      <c r="IN1">
        <f t="shared" si="3"/>
        <v>2263</v>
      </c>
      <c r="IO1">
        <f t="shared" si="3"/>
        <v>2264</v>
      </c>
      <c r="IP1">
        <f t="shared" si="3"/>
        <v>2265</v>
      </c>
      <c r="IQ1">
        <f t="shared" si="3"/>
        <v>2266</v>
      </c>
      <c r="IR1">
        <f t="shared" si="3"/>
        <v>2267</v>
      </c>
      <c r="IS1">
        <f t="shared" si="3"/>
        <v>2268</v>
      </c>
      <c r="IT1">
        <f t="shared" si="3"/>
        <v>2269</v>
      </c>
      <c r="IU1">
        <f t="shared" si="3"/>
        <v>2270</v>
      </c>
      <c r="IV1">
        <f t="shared" si="3"/>
        <v>2271</v>
      </c>
      <c r="IW1">
        <f t="shared" si="3"/>
        <v>2272</v>
      </c>
      <c r="IX1">
        <f t="shared" si="3"/>
        <v>2273</v>
      </c>
      <c r="IY1">
        <f t="shared" si="3"/>
        <v>2274</v>
      </c>
      <c r="IZ1">
        <f t="shared" si="3"/>
        <v>2275</v>
      </c>
      <c r="JA1">
        <f t="shared" si="3"/>
        <v>2276</v>
      </c>
      <c r="JB1">
        <f t="shared" si="3"/>
        <v>2277</v>
      </c>
      <c r="JC1">
        <f t="shared" si="3"/>
        <v>2278</v>
      </c>
      <c r="JD1">
        <f t="shared" si="3"/>
        <v>2279</v>
      </c>
      <c r="JE1">
        <f t="shared" ref="JE1:JO1" si="4">JD1+1</f>
        <v>2280</v>
      </c>
      <c r="JF1">
        <f t="shared" si="4"/>
        <v>2281</v>
      </c>
      <c r="JG1">
        <f t="shared" si="4"/>
        <v>2282</v>
      </c>
      <c r="JH1">
        <f t="shared" si="4"/>
        <v>2283</v>
      </c>
      <c r="JI1">
        <f t="shared" si="4"/>
        <v>2284</v>
      </c>
      <c r="JJ1">
        <f t="shared" si="4"/>
        <v>2285</v>
      </c>
      <c r="JK1">
        <f t="shared" si="4"/>
        <v>2286</v>
      </c>
      <c r="JL1">
        <f t="shared" si="4"/>
        <v>2287</v>
      </c>
      <c r="JM1">
        <f t="shared" si="4"/>
        <v>2288</v>
      </c>
      <c r="JN1">
        <f t="shared" si="4"/>
        <v>2289</v>
      </c>
      <c r="JO1">
        <f t="shared" si="4"/>
        <v>2290</v>
      </c>
    </row>
    <row r="2" spans="1:275" x14ac:dyDescent="0.35">
      <c r="B2" t="s">
        <v>16</v>
      </c>
      <c r="F2" s="4">
        <v>79809</v>
      </c>
      <c r="G2" s="4">
        <v>102931</v>
      </c>
      <c r="H2" s="4">
        <v>153541</v>
      </c>
      <c r="I2">
        <f>H2*1.03</f>
        <v>158147.23000000001</v>
      </c>
      <c r="J2">
        <f>I2</f>
        <v>158147.23000000001</v>
      </c>
      <c r="K2">
        <f>J2</f>
        <v>158147.23000000001</v>
      </c>
    </row>
    <row r="3" spans="1:275" x14ac:dyDescent="0.35">
      <c r="B3" t="s">
        <v>15</v>
      </c>
      <c r="F3" s="4">
        <v>14140</v>
      </c>
      <c r="G3" s="4">
        <v>27626</v>
      </c>
      <c r="H3" s="4">
        <v>94098</v>
      </c>
      <c r="I3">
        <f t="shared" ref="I3:K3" si="5">H3*1.03</f>
        <v>96920.94</v>
      </c>
      <c r="J3">
        <f>I3</f>
        <v>96920.94</v>
      </c>
      <c r="K3">
        <f>J3</f>
        <v>96920.94</v>
      </c>
    </row>
    <row r="4" spans="1:275" x14ac:dyDescent="0.35">
      <c r="B4" s="5" t="s">
        <v>14</v>
      </c>
      <c r="F4" s="6">
        <f>SUM(F2:F3)</f>
        <v>93949</v>
      </c>
      <c r="G4" s="6">
        <f t="shared" ref="G4:I4" si="6">SUM(G2:G3)</f>
        <v>130557</v>
      </c>
      <c r="H4" s="6">
        <f t="shared" si="6"/>
        <v>247639</v>
      </c>
      <c r="I4" s="6">
        <f t="shared" si="6"/>
        <v>255068.17</v>
      </c>
      <c r="J4" s="6">
        <f t="shared" ref="J4" si="7">SUM(J2:J3)</f>
        <v>255068.17</v>
      </c>
      <c r="K4" s="6">
        <f t="shared" ref="K4" si="8">SUM(K2:K3)</f>
        <v>255068.17</v>
      </c>
      <c r="L4" s="6">
        <f>K4*1.03</f>
        <v>262720.21510000003</v>
      </c>
    </row>
    <row r="5" spans="1:275" x14ac:dyDescent="0.35">
      <c r="B5" t="s">
        <v>19</v>
      </c>
      <c r="F5" s="4">
        <v>31718</v>
      </c>
      <c r="G5" s="4">
        <v>31462</v>
      </c>
      <c r="H5" s="4">
        <v>91724</v>
      </c>
      <c r="I5">
        <f t="shared" ref="I5:K5" si="9">H5*1.03</f>
        <v>94475.72</v>
      </c>
      <c r="J5">
        <f t="shared" si="9"/>
        <v>97309.991600000008</v>
      </c>
      <c r="K5">
        <f t="shared" si="9"/>
        <v>100229.29134800001</v>
      </c>
      <c r="L5">
        <f>K5*1.01</f>
        <v>101231.58426148002</v>
      </c>
    </row>
    <row r="6" spans="1:275" x14ac:dyDescent="0.35">
      <c r="B6" t="s">
        <v>20</v>
      </c>
      <c r="F6" s="4">
        <v>44801</v>
      </c>
      <c r="G6" s="4">
        <v>54344</v>
      </c>
      <c r="H6" s="4">
        <v>82189</v>
      </c>
      <c r="I6">
        <f t="shared" ref="I6:K6" si="10">H6*1.03</f>
        <v>84654.67</v>
      </c>
      <c r="J6">
        <f t="shared" si="10"/>
        <v>87194.310100000002</v>
      </c>
      <c r="K6">
        <f t="shared" si="10"/>
        <v>89810.139403000008</v>
      </c>
      <c r="L6">
        <f t="shared" ref="L6:L7" si="11">K6*1.01</f>
        <v>90708.240797030012</v>
      </c>
    </row>
    <row r="7" spans="1:275" x14ac:dyDescent="0.35">
      <c r="B7" t="s">
        <v>21</v>
      </c>
      <c r="F7" s="4">
        <v>1540</v>
      </c>
      <c r="G7" s="4">
        <v>3965</v>
      </c>
      <c r="H7" s="4">
        <v>4076</v>
      </c>
      <c r="I7">
        <f t="shared" ref="I7:K7" si="12">H7*1.03</f>
        <v>4198.28</v>
      </c>
      <c r="J7">
        <f t="shared" si="12"/>
        <v>4324.2284</v>
      </c>
      <c r="K7">
        <f t="shared" si="12"/>
        <v>4453.9552519999997</v>
      </c>
      <c r="L7">
        <f t="shared" si="11"/>
        <v>4498.4948045199999</v>
      </c>
    </row>
    <row r="8" spans="1:275" x14ac:dyDescent="0.35">
      <c r="B8" t="s">
        <v>22</v>
      </c>
      <c r="F8" s="4">
        <v>8993</v>
      </c>
      <c r="G8" s="4">
        <v>10385</v>
      </c>
      <c r="H8" s="4">
        <v>10952</v>
      </c>
      <c r="I8">
        <f t="shared" ref="I8:K8" si="13">H8*1.03</f>
        <v>11280.56</v>
      </c>
      <c r="J8">
        <f t="shared" si="13"/>
        <v>11618.9768</v>
      </c>
      <c r="K8">
        <f t="shared" si="13"/>
        <v>11967.546104000001</v>
      </c>
      <c r="L8">
        <f>K8*1.01</f>
        <v>12087.221565040001</v>
      </c>
    </row>
    <row r="9" spans="1:275" x14ac:dyDescent="0.35">
      <c r="B9" t="s">
        <v>23</v>
      </c>
      <c r="F9" s="4">
        <f>F4-F5-F6-F7-F8</f>
        <v>6897</v>
      </c>
      <c r="G9" s="4">
        <f>G4-G5-G6-G7-G8</f>
        <v>30401</v>
      </c>
      <c r="H9" s="4">
        <f>H4-H5-H6-H7-H8</f>
        <v>58698</v>
      </c>
      <c r="I9" s="4">
        <f t="shared" ref="I9:L9" si="14">I4-I5-I6-I7-I8</f>
        <v>60458.940000000017</v>
      </c>
      <c r="J9" s="4">
        <f t="shared" si="14"/>
        <v>54620.663100000005</v>
      </c>
      <c r="K9" s="4">
        <f t="shared" si="14"/>
        <v>48607.237892999976</v>
      </c>
      <c r="L9" s="4">
        <f t="shared" si="14"/>
        <v>54194.673671929995</v>
      </c>
    </row>
    <row r="10" spans="1:275" x14ac:dyDescent="0.35">
      <c r="B10" t="s">
        <v>27</v>
      </c>
      <c r="F10" s="4">
        <v>3061</v>
      </c>
      <c r="G10" s="4">
        <v>3997</v>
      </c>
      <c r="H10" s="4">
        <v>10238</v>
      </c>
      <c r="I10" s="4">
        <v>4500</v>
      </c>
      <c r="J10">
        <f>I10*1.05</f>
        <v>4725</v>
      </c>
      <c r="K10">
        <f>J10*1.05</f>
        <v>4961.25</v>
      </c>
      <c r="L10">
        <f>K10*1.02</f>
        <v>5060.4750000000004</v>
      </c>
    </row>
    <row r="11" spans="1:275" x14ac:dyDescent="0.35">
      <c r="B11" t="s">
        <v>24</v>
      </c>
      <c r="F11" s="4">
        <v>1231</v>
      </c>
      <c r="G11" s="4">
        <v>51</v>
      </c>
      <c r="H11" s="4">
        <v>43</v>
      </c>
      <c r="I11" s="4">
        <v>1500</v>
      </c>
      <c r="J11">
        <f>I11*1.02</f>
        <v>1530</v>
      </c>
      <c r="K11">
        <f>J11*1.02</f>
        <v>1560.6000000000001</v>
      </c>
      <c r="L11">
        <f>K11*1.02</f>
        <v>1591.8120000000001</v>
      </c>
    </row>
    <row r="12" spans="1:275" x14ac:dyDescent="0.35">
      <c r="B12" t="s">
        <v>25</v>
      </c>
      <c r="F12" s="4">
        <v>72</v>
      </c>
      <c r="G12" s="4">
        <v>-150</v>
      </c>
      <c r="H12" s="4">
        <v>36</v>
      </c>
      <c r="I12" s="4">
        <v>-100</v>
      </c>
      <c r="J12">
        <f t="shared" ref="J12:K13" si="15">I12*1.02</f>
        <v>-102</v>
      </c>
      <c r="K12">
        <f t="shared" si="15"/>
        <v>-104.04</v>
      </c>
      <c r="L12">
        <f>K12*1.01</f>
        <v>-105.08040000000001</v>
      </c>
    </row>
    <row r="13" spans="1:275" x14ac:dyDescent="0.35">
      <c r="B13" t="s">
        <v>26</v>
      </c>
      <c r="F13" s="4">
        <v>656</v>
      </c>
      <c r="G13" s="4">
        <v>2221</v>
      </c>
      <c r="H13" s="4">
        <v>2952</v>
      </c>
      <c r="I13" s="4">
        <v>1000</v>
      </c>
      <c r="J13">
        <f t="shared" si="15"/>
        <v>1020</v>
      </c>
      <c r="K13">
        <f t="shared" si="15"/>
        <v>1040.4000000000001</v>
      </c>
      <c r="L13">
        <f>K13*1.01</f>
        <v>1050.8040000000001</v>
      </c>
    </row>
    <row r="14" spans="1:275" x14ac:dyDescent="0.35">
      <c r="B14" t="s">
        <v>28</v>
      </c>
      <c r="F14" s="4">
        <f>F9+F10-F11+F12+F13</f>
        <v>9455</v>
      </c>
      <c r="G14" s="4">
        <f>G9+G10-G11+G12+G13</f>
        <v>36418</v>
      </c>
      <c r="H14" s="4">
        <f>H9+H10-H11+H12+H13</f>
        <v>71881</v>
      </c>
      <c r="I14" s="4">
        <f t="shared" ref="I14:L14" si="16">I9+I10-I11+I12+I13</f>
        <v>64358.940000000017</v>
      </c>
      <c r="J14" s="4">
        <f t="shared" si="16"/>
        <v>58733.663100000005</v>
      </c>
      <c r="K14" s="4">
        <f t="shared" si="16"/>
        <v>52944.247892999978</v>
      </c>
      <c r="L14" s="4">
        <f t="shared" si="16"/>
        <v>58609.060271929993</v>
      </c>
    </row>
    <row r="15" spans="1:275" x14ac:dyDescent="0.35">
      <c r="B15" t="s">
        <v>29</v>
      </c>
      <c r="F15" s="4">
        <v>1933</v>
      </c>
      <c r="G15" s="4">
        <v>4725</v>
      </c>
      <c r="H15" s="4">
        <v>11850</v>
      </c>
      <c r="I15">
        <f>I14*0.2</f>
        <v>12871.788000000004</v>
      </c>
      <c r="J15">
        <f t="shared" ref="J15:L15" si="17">J14*0.2</f>
        <v>11746.732620000002</v>
      </c>
      <c r="K15">
        <f t="shared" si="17"/>
        <v>10588.849578599997</v>
      </c>
      <c r="L15">
        <f t="shared" si="17"/>
        <v>11721.812054385999</v>
      </c>
    </row>
    <row r="16" spans="1:275" x14ac:dyDescent="0.35">
      <c r="B16" t="s">
        <v>30</v>
      </c>
      <c r="F16" s="4">
        <v>246</v>
      </c>
      <c r="G16" s="4">
        <v>-155</v>
      </c>
      <c r="H16" s="4">
        <v>-4</v>
      </c>
    </row>
    <row r="17" spans="2:142" x14ac:dyDescent="0.35">
      <c r="B17" s="5" t="s">
        <v>31</v>
      </c>
      <c r="F17" s="4">
        <f>F14-F15+F16</f>
        <v>7768</v>
      </c>
      <c r="G17" s="4">
        <f>G14-G15+G16</f>
        <v>31538</v>
      </c>
      <c r="H17" s="4">
        <f>H14-H15+H16</f>
        <v>60027</v>
      </c>
      <c r="I17" s="4">
        <f t="shared" ref="I17:L17" si="18">I14-I15+I16</f>
        <v>51487.152000000016</v>
      </c>
      <c r="J17" s="4">
        <f t="shared" si="18"/>
        <v>46986.930480000003</v>
      </c>
      <c r="K17" s="4">
        <f t="shared" si="18"/>
        <v>42355.398314399979</v>
      </c>
      <c r="L17" s="4">
        <f t="shared" si="18"/>
        <v>46887.248217543995</v>
      </c>
      <c r="M17" s="4">
        <f>L17*1.02</f>
        <v>47824.993181894875</v>
      </c>
      <c r="N17" s="4">
        <f t="shared" ref="N17:BY17" si="19">M17*1.02</f>
        <v>48781.49304553277</v>
      </c>
      <c r="O17" s="4">
        <f t="shared" si="19"/>
        <v>49757.12290644343</v>
      </c>
      <c r="P17" s="4">
        <f t="shared" si="19"/>
        <v>50752.265364572297</v>
      </c>
      <c r="Q17" s="4">
        <f t="shared" si="19"/>
        <v>51767.310671863743</v>
      </c>
      <c r="R17" s="4">
        <f t="shared" si="19"/>
        <v>52802.656885301018</v>
      </c>
      <c r="S17" s="4">
        <f t="shared" si="19"/>
        <v>53858.710023007035</v>
      </c>
      <c r="T17" s="4">
        <f t="shared" si="19"/>
        <v>54935.884223467176</v>
      </c>
      <c r="U17" s="4">
        <f t="shared" si="19"/>
        <v>56034.601907936521</v>
      </c>
      <c r="V17" s="4">
        <f t="shared" si="19"/>
        <v>57155.293946095255</v>
      </c>
      <c r="W17" s="4">
        <f t="shared" si="19"/>
        <v>58298.399825017164</v>
      </c>
      <c r="X17" s="4">
        <f t="shared" si="19"/>
        <v>59464.36782151751</v>
      </c>
      <c r="Y17" s="4">
        <f t="shared" si="19"/>
        <v>60653.655177947861</v>
      </c>
      <c r="Z17" s="4">
        <f t="shared" si="19"/>
        <v>61866.728281506817</v>
      </c>
      <c r="AA17" s="4">
        <f t="shared" si="19"/>
        <v>63104.062847136956</v>
      </c>
      <c r="AB17" s="4">
        <f t="shared" si="19"/>
        <v>64366.1441040797</v>
      </c>
      <c r="AC17" s="4">
        <f t="shared" si="19"/>
        <v>65653.466986161293</v>
      </c>
      <c r="AD17" s="4">
        <f t="shared" si="19"/>
        <v>66966.536325884517</v>
      </c>
      <c r="AE17" s="4">
        <f t="shared" si="19"/>
        <v>68305.867052402202</v>
      </c>
      <c r="AF17" s="4">
        <f t="shared" si="19"/>
        <v>69671.984393450242</v>
      </c>
      <c r="AG17" s="4">
        <f t="shared" si="19"/>
        <v>71065.424081319245</v>
      </c>
      <c r="AH17" s="4">
        <f t="shared" si="19"/>
        <v>72486.732562945632</v>
      </c>
      <c r="AI17" s="4">
        <f t="shared" si="19"/>
        <v>73936.467214204546</v>
      </c>
      <c r="AJ17" s="4">
        <f t="shared" si="19"/>
        <v>75415.196558488635</v>
      </c>
      <c r="AK17" s="4">
        <f t="shared" si="19"/>
        <v>76923.500489658414</v>
      </c>
      <c r="AL17" s="4">
        <f t="shared" si="19"/>
        <v>78461.970499451578</v>
      </c>
      <c r="AM17" s="4">
        <f t="shared" si="19"/>
        <v>80031.209909440615</v>
      </c>
      <c r="AN17" s="4">
        <f t="shared" si="19"/>
        <v>81631.834107629431</v>
      </c>
      <c r="AO17" s="4">
        <f t="shared" si="19"/>
        <v>83264.470789782019</v>
      </c>
      <c r="AP17" s="4">
        <f t="shared" si="19"/>
        <v>84929.760205577666</v>
      </c>
      <c r="AQ17" s="4">
        <f t="shared" si="19"/>
        <v>86628.355409689219</v>
      </c>
      <c r="AR17" s="4">
        <f t="shared" si="19"/>
        <v>88360.922517883009</v>
      </c>
      <c r="AS17" s="4">
        <f t="shared" si="19"/>
        <v>90128.140968240667</v>
      </c>
      <c r="AT17" s="4">
        <f t="shared" si="19"/>
        <v>91930.703787605482</v>
      </c>
      <c r="AU17" s="4">
        <f t="shared" si="19"/>
        <v>93769.317863357588</v>
      </c>
      <c r="AV17" s="4">
        <f t="shared" si="19"/>
        <v>95644.704220624742</v>
      </c>
      <c r="AW17" s="4">
        <f t="shared" si="19"/>
        <v>97557.598305037245</v>
      </c>
      <c r="AX17" s="4">
        <f t="shared" si="19"/>
        <v>99508.750271137993</v>
      </c>
      <c r="AY17" s="4">
        <f t="shared" si="19"/>
        <v>101498.92527656075</v>
      </c>
      <c r="AZ17" s="4">
        <f t="shared" si="19"/>
        <v>103528.90378209198</v>
      </c>
      <c r="BA17" s="4">
        <f t="shared" si="19"/>
        <v>105599.48185773382</v>
      </c>
      <c r="BB17" s="4">
        <f t="shared" si="19"/>
        <v>107711.47149488849</v>
      </c>
      <c r="BC17" s="4">
        <f t="shared" si="19"/>
        <v>109865.70092478626</v>
      </c>
      <c r="BD17" s="4">
        <f t="shared" si="19"/>
        <v>112063.01494328199</v>
      </c>
      <c r="BE17" s="4">
        <f t="shared" si="19"/>
        <v>114304.27524214763</v>
      </c>
      <c r="BF17" s="4">
        <f t="shared" si="19"/>
        <v>116590.36074699058</v>
      </c>
      <c r="BG17" s="4">
        <f t="shared" si="19"/>
        <v>118922.16796193039</v>
      </c>
      <c r="BH17" s="4">
        <f t="shared" si="19"/>
        <v>121300.611321169</v>
      </c>
      <c r="BI17" s="4">
        <f t="shared" si="19"/>
        <v>123726.62354759237</v>
      </c>
      <c r="BJ17" s="4">
        <f t="shared" si="19"/>
        <v>126201.15601854422</v>
      </c>
      <c r="BK17" s="4">
        <f t="shared" si="19"/>
        <v>128725.1791389151</v>
      </c>
      <c r="BL17" s="4">
        <f t="shared" si="19"/>
        <v>131299.68272169342</v>
      </c>
      <c r="BM17" s="4">
        <f t="shared" si="19"/>
        <v>133925.67637612729</v>
      </c>
      <c r="BN17" s="4">
        <f t="shared" si="19"/>
        <v>136604.18990364985</v>
      </c>
      <c r="BO17" s="4">
        <f t="shared" si="19"/>
        <v>139336.27370172285</v>
      </c>
      <c r="BP17" s="4">
        <f t="shared" si="19"/>
        <v>142122.99917575732</v>
      </c>
      <c r="BQ17" s="4">
        <f t="shared" si="19"/>
        <v>144965.45915927246</v>
      </c>
      <c r="BR17" s="4">
        <f t="shared" si="19"/>
        <v>147864.76834245792</v>
      </c>
      <c r="BS17" s="4">
        <f t="shared" si="19"/>
        <v>150822.06370930708</v>
      </c>
      <c r="BT17" s="4">
        <f t="shared" si="19"/>
        <v>153838.50498349321</v>
      </c>
      <c r="BU17" s="4">
        <f t="shared" si="19"/>
        <v>156915.27508316308</v>
      </c>
      <c r="BV17" s="4">
        <f t="shared" si="19"/>
        <v>160053.58058482636</v>
      </c>
      <c r="BW17" s="4">
        <f t="shared" si="19"/>
        <v>163254.65219652289</v>
      </c>
      <c r="BX17" s="4">
        <f t="shared" si="19"/>
        <v>166519.74524045334</v>
      </c>
      <c r="BY17" s="4">
        <f t="shared" si="19"/>
        <v>169850.14014526241</v>
      </c>
      <c r="BZ17" s="4">
        <f t="shared" ref="BZ17:EK17" si="20">BY17*1.02</f>
        <v>173247.14294816766</v>
      </c>
      <c r="CA17" s="4">
        <f t="shared" si="20"/>
        <v>176712.08580713102</v>
      </c>
      <c r="CB17" s="4">
        <f t="shared" si="20"/>
        <v>180246.32752327365</v>
      </c>
      <c r="CC17" s="4">
        <f t="shared" si="20"/>
        <v>183851.25407373914</v>
      </c>
      <c r="CD17" s="4">
        <f t="shared" si="20"/>
        <v>187528.27915521394</v>
      </c>
      <c r="CE17" s="4">
        <f t="shared" si="20"/>
        <v>191278.84473831821</v>
      </c>
      <c r="CF17" s="4">
        <f t="shared" si="20"/>
        <v>195104.42163308457</v>
      </c>
      <c r="CG17" s="4">
        <f t="shared" si="20"/>
        <v>199006.51006574626</v>
      </c>
      <c r="CH17" s="4">
        <f t="shared" si="20"/>
        <v>202986.64026706119</v>
      </c>
      <c r="CI17" s="4">
        <f t="shared" si="20"/>
        <v>207046.37307240241</v>
      </c>
      <c r="CJ17" s="4">
        <f t="shared" si="20"/>
        <v>211187.30053385044</v>
      </c>
      <c r="CK17" s="4">
        <f t="shared" si="20"/>
        <v>215411.04654452746</v>
      </c>
      <c r="CL17" s="4">
        <f t="shared" si="20"/>
        <v>219719.26747541802</v>
      </c>
      <c r="CM17" s="4">
        <f t="shared" si="20"/>
        <v>224113.65282492639</v>
      </c>
      <c r="CN17" s="4">
        <f t="shared" si="20"/>
        <v>228595.92588142492</v>
      </c>
      <c r="CO17" s="4">
        <f t="shared" si="20"/>
        <v>233167.84439905343</v>
      </c>
      <c r="CP17" s="4">
        <f t="shared" si="20"/>
        <v>237831.20128703449</v>
      </c>
      <c r="CQ17" s="4">
        <f t="shared" si="20"/>
        <v>242587.82531277518</v>
      </c>
      <c r="CR17" s="4">
        <f t="shared" si="20"/>
        <v>247439.58181903069</v>
      </c>
      <c r="CS17" s="4">
        <f t="shared" si="20"/>
        <v>252388.37345541132</v>
      </c>
      <c r="CT17" s="4">
        <f t="shared" si="20"/>
        <v>257436.14092451954</v>
      </c>
      <c r="CU17" s="4">
        <f t="shared" si="20"/>
        <v>262584.86374300992</v>
      </c>
      <c r="CV17" s="4">
        <f t="shared" si="20"/>
        <v>267836.56101787015</v>
      </c>
      <c r="CW17" s="4">
        <f t="shared" si="20"/>
        <v>273193.29223822756</v>
      </c>
      <c r="CX17" s="4">
        <f t="shared" si="20"/>
        <v>278657.15808299213</v>
      </c>
      <c r="CY17" s="4">
        <f t="shared" si="20"/>
        <v>284230.30124465196</v>
      </c>
      <c r="CZ17" s="4">
        <f t="shared" si="20"/>
        <v>289914.90726954502</v>
      </c>
      <c r="DA17" s="4">
        <f t="shared" si="20"/>
        <v>295713.20541493595</v>
      </c>
      <c r="DB17" s="4">
        <f t="shared" si="20"/>
        <v>301627.46952323464</v>
      </c>
      <c r="DC17" s="4">
        <f t="shared" si="20"/>
        <v>307660.01891369931</v>
      </c>
      <c r="DD17" s="4">
        <f t="shared" si="20"/>
        <v>313813.21929197328</v>
      </c>
      <c r="DE17" s="4">
        <f t="shared" si="20"/>
        <v>320089.48367781274</v>
      </c>
      <c r="DF17" s="4">
        <f t="shared" si="20"/>
        <v>326491.27335136902</v>
      </c>
      <c r="DG17" s="4">
        <f t="shared" si="20"/>
        <v>333021.09881839639</v>
      </c>
      <c r="DH17" s="4">
        <f t="shared" si="20"/>
        <v>339681.52079476434</v>
      </c>
      <c r="DI17" s="4">
        <f t="shared" si="20"/>
        <v>346475.15121065965</v>
      </c>
      <c r="DJ17" s="4">
        <f t="shared" si="20"/>
        <v>353404.65423487284</v>
      </c>
      <c r="DK17" s="4">
        <f t="shared" si="20"/>
        <v>360472.74731957028</v>
      </c>
      <c r="DL17" s="4">
        <f t="shared" si="20"/>
        <v>367682.20226596168</v>
      </c>
      <c r="DM17" s="4">
        <f t="shared" si="20"/>
        <v>375035.84631128091</v>
      </c>
      <c r="DN17" s="4">
        <f t="shared" si="20"/>
        <v>382536.56323750655</v>
      </c>
      <c r="DO17" s="4">
        <f t="shared" si="20"/>
        <v>390187.29450225667</v>
      </c>
      <c r="DP17" s="4">
        <f t="shared" si="20"/>
        <v>397991.0403923018</v>
      </c>
      <c r="DQ17" s="4">
        <f t="shared" si="20"/>
        <v>405950.86120014783</v>
      </c>
      <c r="DR17" s="4">
        <f t="shared" si="20"/>
        <v>414069.87842415081</v>
      </c>
      <c r="DS17" s="4">
        <f t="shared" si="20"/>
        <v>422351.27599263383</v>
      </c>
      <c r="DT17" s="4">
        <f t="shared" si="20"/>
        <v>430798.30151248653</v>
      </c>
      <c r="DU17" s="4">
        <f t="shared" si="20"/>
        <v>439414.26754273626</v>
      </c>
      <c r="DV17" s="4">
        <f t="shared" si="20"/>
        <v>448202.552893591</v>
      </c>
      <c r="DW17" s="4">
        <f t="shared" si="20"/>
        <v>457166.60395146284</v>
      </c>
      <c r="DX17" s="4">
        <f t="shared" si="20"/>
        <v>466309.93603049213</v>
      </c>
      <c r="DY17" s="4">
        <f t="shared" si="20"/>
        <v>475636.13475110196</v>
      </c>
      <c r="DZ17" s="4">
        <f t="shared" si="20"/>
        <v>485148.85744612402</v>
      </c>
      <c r="EA17" s="4">
        <f t="shared" si="20"/>
        <v>494851.83459504653</v>
      </c>
      <c r="EB17" s="4">
        <f t="shared" si="20"/>
        <v>504748.87128694745</v>
      </c>
      <c r="EC17" s="4">
        <f t="shared" si="20"/>
        <v>514843.84871268639</v>
      </c>
      <c r="ED17" s="4">
        <f t="shared" si="20"/>
        <v>525140.72568694013</v>
      </c>
      <c r="EE17" s="4">
        <f t="shared" si="20"/>
        <v>535643.54020067898</v>
      </c>
      <c r="EF17" s="4">
        <f t="shared" si="20"/>
        <v>546356.41100469255</v>
      </c>
      <c r="EG17" s="4">
        <f t="shared" si="20"/>
        <v>557283.53922478645</v>
      </c>
      <c r="EH17" s="4">
        <f t="shared" si="20"/>
        <v>568429.21000928222</v>
      </c>
      <c r="EI17" s="4">
        <f t="shared" si="20"/>
        <v>579797.79420946783</v>
      </c>
      <c r="EJ17" s="4">
        <f t="shared" si="20"/>
        <v>591393.75009365717</v>
      </c>
      <c r="EK17" s="4">
        <f t="shared" si="20"/>
        <v>603221.6250955303</v>
      </c>
      <c r="EL17" s="4">
        <f t="shared" ref="EL17" si="21">EK17*1.02</f>
        <v>615286.0575974409</v>
      </c>
    </row>
    <row r="19" spans="2:142" x14ac:dyDescent="0.35">
      <c r="F19">
        <f t="shared" ref="F19:G19" si="22">F15/F14</f>
        <v>0.2044420941300899</v>
      </c>
      <c r="G19">
        <f t="shared" si="22"/>
        <v>0.12974353341754077</v>
      </c>
      <c r="H19">
        <f>H15/H14</f>
        <v>0.16485580334163408</v>
      </c>
    </row>
    <row r="21" spans="2:142" x14ac:dyDescent="0.35">
      <c r="B21" t="s">
        <v>18</v>
      </c>
      <c r="G21" s="3">
        <f>G4/F4 - 1</f>
        <v>0.3896582188208495</v>
      </c>
      <c r="H21" s="3">
        <f>H4/G4 - 1</f>
        <v>0.89678837595839367</v>
      </c>
      <c r="I21" s="3">
        <f>I4/H4 - 1</f>
        <v>3.0000000000000027E-2</v>
      </c>
      <c r="J21" s="3">
        <f t="shared" ref="J21:L21" si="23">J4/I4 - 1</f>
        <v>0</v>
      </c>
      <c r="K21" s="3">
        <f t="shared" si="23"/>
        <v>0</v>
      </c>
      <c r="L21" s="3">
        <f t="shared" si="23"/>
        <v>3.0000000000000027E-2</v>
      </c>
    </row>
    <row r="22" spans="2:142" x14ac:dyDescent="0.35">
      <c r="B22" t="s">
        <v>32</v>
      </c>
      <c r="G22" s="3">
        <f>G17/F17 - 1</f>
        <v>3.059989701338826</v>
      </c>
      <c r="H22" s="3">
        <f>H17/G17 - 1</f>
        <v>0.90332297545817752</v>
      </c>
      <c r="P22" t="s">
        <v>67</v>
      </c>
      <c r="Q22" s="7">
        <v>0.08</v>
      </c>
    </row>
    <row r="23" spans="2:142" x14ac:dyDescent="0.35">
      <c r="P23" t="s">
        <v>66</v>
      </c>
      <c r="Q23" s="7">
        <v>0.02</v>
      </c>
    </row>
    <row r="24" spans="2:142" x14ac:dyDescent="0.35">
      <c r="P24" t="s">
        <v>68</v>
      </c>
      <c r="Q24" s="8">
        <f>NPV(Q22,I17:EL17)</f>
        <v>741576.24762515142</v>
      </c>
    </row>
    <row r="25" spans="2:142" x14ac:dyDescent="0.35">
      <c r="B25" t="s">
        <v>33</v>
      </c>
      <c r="G25" s="1"/>
      <c r="H25" s="1">
        <v>59794</v>
      </c>
      <c r="P25" t="s">
        <v>69</v>
      </c>
      <c r="Q25" s="8">
        <f>Q24/Main!Q4</f>
        <v>125.47821448818129</v>
      </c>
    </row>
    <row r="26" spans="2:142" x14ac:dyDescent="0.35">
      <c r="B26" t="s">
        <v>34</v>
      </c>
      <c r="G26" s="1"/>
      <c r="H26" s="1">
        <v>61985</v>
      </c>
      <c r="Q26">
        <v>102</v>
      </c>
    </row>
    <row r="27" spans="2:142" x14ac:dyDescent="0.35">
      <c r="B27" t="s">
        <v>35</v>
      </c>
      <c r="G27" s="1"/>
      <c r="H27" s="1">
        <v>3914</v>
      </c>
      <c r="Q27" s="9" t="s">
        <v>70</v>
      </c>
    </row>
    <row r="28" spans="2:142" x14ac:dyDescent="0.35">
      <c r="B28" t="s">
        <v>36</v>
      </c>
      <c r="G28" s="1"/>
      <c r="H28" s="1">
        <v>157415</v>
      </c>
    </row>
    <row r="29" spans="2:142" x14ac:dyDescent="0.35">
      <c r="B29" t="s">
        <v>37</v>
      </c>
      <c r="G29" s="1"/>
      <c r="H29" s="1">
        <v>7428</v>
      </c>
    </row>
    <row r="30" spans="2:142" x14ac:dyDescent="0.35">
      <c r="B30" t="s">
        <v>38</v>
      </c>
      <c r="G30" s="1"/>
      <c r="H30" s="1">
        <v>4214</v>
      </c>
    </row>
    <row r="31" spans="2:142" x14ac:dyDescent="0.35">
      <c r="B31" s="5" t="s">
        <v>39</v>
      </c>
      <c r="G31" s="1"/>
      <c r="H31" s="1">
        <f>SUM(H25:H30)</f>
        <v>294750</v>
      </c>
    </row>
    <row r="32" spans="2:142" x14ac:dyDescent="0.35">
      <c r="B32" t="s">
        <v>40</v>
      </c>
      <c r="H32" s="1">
        <v>979</v>
      </c>
    </row>
    <row r="33" spans="2:8" x14ac:dyDescent="0.35">
      <c r="B33" t="s">
        <v>41</v>
      </c>
      <c r="H33" s="1">
        <v>21</v>
      </c>
    </row>
    <row r="34" spans="2:8" x14ac:dyDescent="0.35">
      <c r="B34" t="s">
        <v>42</v>
      </c>
      <c r="H34" s="1">
        <v>4104</v>
      </c>
    </row>
    <row r="35" spans="2:8" x14ac:dyDescent="0.35">
      <c r="B35" t="s">
        <v>43</v>
      </c>
      <c r="H35" s="1">
        <v>270</v>
      </c>
    </row>
    <row r="36" spans="2:8" x14ac:dyDescent="0.35">
      <c r="B36" t="s">
        <v>44</v>
      </c>
      <c r="H36" s="1">
        <v>47951</v>
      </c>
    </row>
    <row r="37" spans="2:8" x14ac:dyDescent="0.35">
      <c r="B37" s="5" t="s">
        <v>45</v>
      </c>
      <c r="H37" s="4">
        <f>SUM(H32:H36)</f>
        <v>53325</v>
      </c>
    </row>
    <row r="38" spans="2:8" x14ac:dyDescent="0.35">
      <c r="B38" s="5" t="s">
        <v>46</v>
      </c>
      <c r="H38" s="4">
        <f>H37+H31</f>
        <v>348075</v>
      </c>
    </row>
    <row r="39" spans="2:8" x14ac:dyDescent="0.35">
      <c r="H39" s="4"/>
    </row>
    <row r="40" spans="2:8" x14ac:dyDescent="0.35">
      <c r="B40" t="s">
        <v>47</v>
      </c>
      <c r="H40" s="4">
        <v>1238</v>
      </c>
    </row>
    <row r="41" spans="2:8" x14ac:dyDescent="0.35">
      <c r="B41" t="s">
        <v>48</v>
      </c>
      <c r="H41" s="4">
        <v>2144</v>
      </c>
    </row>
    <row r="42" spans="2:8" x14ac:dyDescent="0.35">
      <c r="B42" t="s">
        <v>49</v>
      </c>
      <c r="H42" s="4">
        <v>74998</v>
      </c>
    </row>
    <row r="43" spans="2:8" x14ac:dyDescent="0.35">
      <c r="B43" t="s">
        <v>50</v>
      </c>
      <c r="H43" s="4">
        <v>55352</v>
      </c>
    </row>
    <row r="44" spans="2:8" x14ac:dyDescent="0.35">
      <c r="B44" t="s">
        <v>51</v>
      </c>
      <c r="H44" s="4">
        <v>16878</v>
      </c>
    </row>
    <row r="45" spans="2:8" x14ac:dyDescent="0.35">
      <c r="B45" t="s">
        <v>52</v>
      </c>
      <c r="H45" s="4">
        <v>648</v>
      </c>
    </row>
    <row r="46" spans="2:8" x14ac:dyDescent="0.35">
      <c r="B46" t="s">
        <v>53</v>
      </c>
      <c r="H46" s="4">
        <v>1642</v>
      </c>
    </row>
    <row r="47" spans="2:8" x14ac:dyDescent="0.35">
      <c r="B47" s="5" t="s">
        <v>54</v>
      </c>
      <c r="H47" s="4">
        <f>SUM(H40:H46)</f>
        <v>152900</v>
      </c>
    </row>
    <row r="48" spans="2:8" x14ac:dyDescent="0.35">
      <c r="B48" t="s">
        <v>55</v>
      </c>
      <c r="H48" s="4">
        <v>5231</v>
      </c>
    </row>
    <row r="49" spans="2:8" x14ac:dyDescent="0.35">
      <c r="B49" t="s">
        <v>53</v>
      </c>
      <c r="H49" s="4">
        <v>2644</v>
      </c>
    </row>
    <row r="50" spans="2:8" x14ac:dyDescent="0.35">
      <c r="B50" t="s">
        <v>56</v>
      </c>
      <c r="H50" s="4">
        <v>60</v>
      </c>
    </row>
    <row r="51" spans="2:8" x14ac:dyDescent="0.35">
      <c r="B51" s="5" t="s">
        <v>57</v>
      </c>
      <c r="H51" s="4">
        <f>SUM(H48:H50)</f>
        <v>7935</v>
      </c>
    </row>
    <row r="52" spans="2:8" x14ac:dyDescent="0.35">
      <c r="B52" s="5" t="s">
        <v>58</v>
      </c>
      <c r="H52" s="4">
        <f>SUM(H51,H47)</f>
        <v>160835</v>
      </c>
    </row>
    <row r="54" spans="2:8" x14ac:dyDescent="0.35">
      <c r="B54" t="s">
        <v>61</v>
      </c>
      <c r="F54" s="1">
        <v>28783</v>
      </c>
      <c r="G54" s="1">
        <v>48507</v>
      </c>
      <c r="H54" s="1">
        <v>94162</v>
      </c>
    </row>
    <row r="55" spans="2:8" x14ac:dyDescent="0.35">
      <c r="B55" t="s">
        <v>63</v>
      </c>
      <c r="F55" s="1">
        <v>3287</v>
      </c>
      <c r="G55" s="1">
        <v>635</v>
      </c>
      <c r="H55" s="1">
        <v>583</v>
      </c>
    </row>
    <row r="56" spans="2:8" x14ac:dyDescent="0.35">
      <c r="B56" t="s">
        <v>62</v>
      </c>
      <c r="F56" s="1">
        <f>F54-F55</f>
        <v>25496</v>
      </c>
      <c r="G56" s="1">
        <f t="shared" ref="G56:H56" si="24">G54-G55</f>
        <v>47872</v>
      </c>
      <c r="H56" s="1">
        <f t="shared" si="24"/>
        <v>93579</v>
      </c>
    </row>
    <row r="58" spans="2:8" x14ac:dyDescent="0.35">
      <c r="B58" t="s">
        <v>64</v>
      </c>
      <c r="G58" s="3">
        <f>G56/F56-1</f>
        <v>0.87762786319422648</v>
      </c>
      <c r="H58" s="3">
        <f>H56/G56-1</f>
        <v>0.9547752339572193</v>
      </c>
    </row>
  </sheetData>
  <hyperlinks>
    <hyperlink ref="A1" location="Main!A1" display="Main" xr:uid="{F321D3DE-3C40-4C49-B225-40F045D7063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2025-05-27T21:09:08Z</dcterms:modified>
</cp:coreProperties>
</file>