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FD89CE66-E9CA-4D2C-A75E-CAC3A3BA9756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" l="1"/>
  <c r="R17" i="2" s="1"/>
  <c r="R2" i="2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F23" i="2"/>
  <c r="E23" i="2"/>
  <c r="D23" i="2"/>
  <c r="L26" i="2"/>
  <c r="K5" i="2"/>
  <c r="K7" i="2" s="1"/>
  <c r="N26" i="2"/>
  <c r="M26" i="2"/>
  <c r="M5" i="2"/>
  <c r="M7" i="2" s="1"/>
  <c r="M13" i="2" s="1"/>
  <c r="M15" i="2" s="1"/>
  <c r="M17" i="2" s="1"/>
  <c r="M23" i="2" s="1"/>
  <c r="L5" i="2"/>
  <c r="L7" i="2" s="1"/>
  <c r="L13" i="2" s="1"/>
  <c r="L15" i="2" s="1"/>
  <c r="L17" i="2" s="1"/>
  <c r="L23" i="2" s="1"/>
  <c r="Q26" i="2"/>
  <c r="P26" i="2"/>
  <c r="O26" i="2"/>
  <c r="E25" i="2"/>
  <c r="N5" i="2"/>
  <c r="N7" i="2" s="1"/>
  <c r="N13" i="2" s="1"/>
  <c r="N15" i="2" s="1"/>
  <c r="N17" i="2" s="1"/>
  <c r="O5" i="2"/>
  <c r="O7" i="2" s="1"/>
  <c r="O13" i="2" s="1"/>
  <c r="O15" i="2" s="1"/>
  <c r="O17" i="2" s="1"/>
  <c r="O23" i="2" s="1"/>
  <c r="F25" i="2"/>
  <c r="F5" i="2"/>
  <c r="F7" i="2" s="1"/>
  <c r="E5" i="2"/>
  <c r="E7" i="2" s="1"/>
  <c r="D5" i="2"/>
  <c r="D7" i="2" s="1"/>
  <c r="P5" i="2"/>
  <c r="P7" i="2" s="1"/>
  <c r="P13" i="2" s="1"/>
  <c r="P15" i="2" s="1"/>
  <c r="P17" i="2" s="1"/>
  <c r="P23" i="2" s="1"/>
  <c r="Q5" i="2"/>
  <c r="Q7" i="2" s="1"/>
  <c r="Q13" i="2" s="1"/>
  <c r="Q15" i="2" s="1"/>
  <c r="Q17" i="2" s="1"/>
  <c r="Q25" i="2" s="1"/>
  <c r="J13" i="1"/>
  <c r="J7" i="1"/>
  <c r="J5" i="1"/>
  <c r="J8" i="1" s="1"/>
  <c r="S3" i="2" l="1"/>
  <c r="J14" i="1"/>
  <c r="N25" i="2"/>
  <c r="Q23" i="2"/>
  <c r="N23" i="2"/>
  <c r="K24" i="2"/>
  <c r="K13" i="2"/>
  <c r="K15" i="2" s="1"/>
  <c r="K17" i="2" s="1"/>
  <c r="M25" i="2"/>
  <c r="M24" i="2"/>
  <c r="L24" i="2"/>
  <c r="P25" i="2"/>
  <c r="O25" i="2"/>
  <c r="N24" i="2"/>
  <c r="O24" i="2"/>
  <c r="P24" i="2"/>
  <c r="Q24" i="2"/>
  <c r="J12" i="1"/>
  <c r="S17" i="2" l="1"/>
  <c r="T3" i="2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L25" i="2"/>
  <c r="K23" i="2"/>
  <c r="T17" i="2" l="1"/>
  <c r="U17" i="2" l="1"/>
  <c r="V17" i="2" l="1"/>
  <c r="W17" i="2" l="1"/>
  <c r="X17" i="2" l="1"/>
  <c r="Y17" i="2" l="1"/>
  <c r="Z17" i="2" l="1"/>
  <c r="AA17" i="2" l="1"/>
  <c r="AB17" i="2" l="1"/>
  <c r="AC17" i="2" l="1"/>
  <c r="AD17" i="2" l="1"/>
  <c r="AE17" i="2" l="1"/>
  <c r="AF17" i="2" l="1"/>
  <c r="AG17" i="2" l="1"/>
  <c r="AH17" i="2" l="1"/>
  <c r="AI17" i="2" l="1"/>
  <c r="AJ17" i="2" l="1"/>
  <c r="AK17" i="2" l="1"/>
  <c r="AL17" i="2" l="1"/>
  <c r="AM17" i="2" l="1"/>
  <c r="AN17" i="2" l="1"/>
  <c r="AO17" i="2" l="1"/>
  <c r="AP17" i="2" l="1"/>
  <c r="AQ17" i="2" l="1"/>
  <c r="AR17" i="2" l="1"/>
  <c r="AS17" i="2" l="1"/>
  <c r="AT17" i="2" l="1"/>
  <c r="AU17" i="2" l="1"/>
  <c r="AV17" i="2" l="1"/>
  <c r="AW17" i="2" l="1"/>
  <c r="AX17" i="2" l="1"/>
  <c r="AY17" i="2" l="1"/>
  <c r="AZ17" i="2" l="1"/>
  <c r="BA17" i="2" l="1"/>
  <c r="BB17" i="2" l="1"/>
  <c r="BC17" i="2" l="1"/>
  <c r="BD17" i="2" l="1"/>
  <c r="BE17" i="2" l="1"/>
  <c r="BF17" i="2" l="1"/>
  <c r="BG17" i="2" l="1"/>
  <c r="BH17" i="2" l="1"/>
  <c r="BI17" i="2" l="1"/>
  <c r="BJ17" i="2" l="1"/>
  <c r="BK17" i="2" l="1"/>
  <c r="BL17" i="2" l="1"/>
  <c r="BM17" i="2" l="1"/>
  <c r="BN17" i="2" l="1"/>
  <c r="BO17" i="2" l="1"/>
  <c r="BP17" i="2" l="1"/>
  <c r="BQ17" i="2" l="1"/>
  <c r="BR17" i="2" l="1"/>
  <c r="BS17" i="2" l="1"/>
  <c r="BT17" i="2" l="1"/>
  <c r="BU17" i="2" l="1"/>
  <c r="BV17" i="2" l="1"/>
  <c r="BW17" i="2" l="1"/>
  <c r="BY17" i="2" l="1"/>
  <c r="BX17" i="2"/>
  <c r="U32" i="2" l="1"/>
  <c r="U33" i="2" s="1"/>
  <c r="U35" i="2" s="1"/>
</calcChain>
</file>

<file path=xl/sharedStrings.xml><?xml version="1.0" encoding="utf-8"?>
<sst xmlns="http://schemas.openxmlformats.org/spreadsheetml/2006/main" count="51" uniqueCount="47">
  <si>
    <t>Price</t>
  </si>
  <si>
    <t>Shares</t>
  </si>
  <si>
    <t>MC</t>
  </si>
  <si>
    <t>Cash</t>
  </si>
  <si>
    <t>EV</t>
  </si>
  <si>
    <t>KRW</t>
  </si>
  <si>
    <t>1Q25</t>
  </si>
  <si>
    <t>4Q24</t>
  </si>
  <si>
    <t>Debt</t>
  </si>
  <si>
    <t>d/c</t>
  </si>
  <si>
    <t>Total assets</t>
  </si>
  <si>
    <t>d/ca</t>
  </si>
  <si>
    <t xml:space="preserve">Total current assets </t>
  </si>
  <si>
    <t>main</t>
  </si>
  <si>
    <t>Sales</t>
  </si>
  <si>
    <t>COGS</t>
  </si>
  <si>
    <t>Gross profit</t>
  </si>
  <si>
    <t>SG&amp;A</t>
  </si>
  <si>
    <t>Operating profit</t>
  </si>
  <si>
    <t>Gain on investments in joint ventures</t>
  </si>
  <si>
    <t>Finance income</t>
  </si>
  <si>
    <t>Finance expense</t>
  </si>
  <si>
    <t>Other income</t>
  </si>
  <si>
    <t>Other expenses</t>
  </si>
  <si>
    <t>Profit before income tax</t>
  </si>
  <si>
    <t>Income tax expense</t>
  </si>
  <si>
    <t>Profit from continuing operations</t>
  </si>
  <si>
    <t>Loss from discontinued operations</t>
  </si>
  <si>
    <t>Net income</t>
  </si>
  <si>
    <t>Ownners of the company</t>
  </si>
  <si>
    <t>Non-controlling interests</t>
  </si>
  <si>
    <t>basic EPS</t>
  </si>
  <si>
    <t>in millions of KRW</t>
  </si>
  <si>
    <t>ni margin</t>
  </si>
  <si>
    <t>operating margin</t>
  </si>
  <si>
    <t>CFFO</t>
  </si>
  <si>
    <t>CAPEX</t>
  </si>
  <si>
    <t>FCF</t>
  </si>
  <si>
    <t>negative as hell?</t>
  </si>
  <si>
    <t>1Q24</t>
  </si>
  <si>
    <t>ni growth</t>
  </si>
  <si>
    <t>rev growh</t>
  </si>
  <si>
    <t>terminal</t>
  </si>
  <si>
    <t>discount</t>
  </si>
  <si>
    <t>npv</t>
  </si>
  <si>
    <t>share</t>
  </si>
  <si>
    <t>p/e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</si>
</sst>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" fontId="0" fillId="0" borderId="0" xfId="0" applyNumberFormat="1"/>
    <xf numFmtId="0" fontId="1" fillId="0" borderId="0" xfId="1"/>
    <xf numFmtId="3" fontId="0" fillId="0" borderId="0" xfId="0" applyNumberFormat="1"/>
    <xf numFmtId="9" fontId="0" fillId="0" borderId="0" xfId="0" applyNumberFormat="1"/>
    <xf numFmtId="8" fontId="0" fillId="0" borderId="0" xfId="0" applyNumberFormat="1"/>
    <xf numFmtId="10" fontId="0" fillId="0" borderId="0" xfId="0" applyNumberFormat="1"/>
    <xf numFmtId="8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742950</xdr:colOff>
      <xdr:row>0</xdr:row>
      <xdr:rowOff>101600</xdr:rowOff>
    </xdr:from>
    <xdr:to>
      <xdr:col>17</xdr:col>
      <xdr:colOff>38100</xdr:colOff>
      <xdr:row>38</xdr:row>
      <xdr:rowOff>63500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42D58EA-D14D-6D03-CC24-EEA01289405A}"/>
            </a:ext>
          </a:extLst>
        </xdr:cNvPr>
        <xdr:cNvCxnSpPr/>
      </xdr:nvCxnSpPr>
      <xdr:spPr>
        <a:xfrm>
          <a:off x="13462000" y="101600"/>
          <a:ext cx="44450" cy="6038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3:K14"/>
  <sheetViews>
    <sheetView topLeftCell="B1" workbookViewId="0">
      <selection activeCell="O10" sqref="O10"/>
    </sheetView>
  </sheetViews>
  <sheetFormatPr defaultRowHeight="14.5" x14ac:dyDescent="0.35"/>
  <cols>
    <col min="10" max="10" width="15.81640625" bestFit="1" customWidth="1"/>
  </cols>
  <sheetData>
    <row r="3" spans="9:11" x14ac:dyDescent="0.35">
      <c r="I3" t="s">
        <v>0</v>
      </c>
      <c r="J3" s="1">
        <v>188000</v>
      </c>
      <c r="K3" t="s">
        <v>5</v>
      </c>
    </row>
    <row r="4" spans="9:11" x14ac:dyDescent="0.35">
      <c r="I4" t="s">
        <v>1</v>
      </c>
      <c r="J4">
        <v>209</v>
      </c>
    </row>
    <row r="5" spans="9:11" x14ac:dyDescent="0.35">
      <c r="I5" t="s">
        <v>2</v>
      </c>
      <c r="J5" s="3">
        <f>J3*J4</f>
        <v>39292000</v>
      </c>
      <c r="K5" t="s">
        <v>5</v>
      </c>
    </row>
    <row r="6" spans="9:11" x14ac:dyDescent="0.35">
      <c r="I6" t="s">
        <v>3</v>
      </c>
      <c r="J6" s="3">
        <v>19014944</v>
      </c>
      <c r="K6" t="s">
        <v>7</v>
      </c>
    </row>
    <row r="7" spans="9:11" x14ac:dyDescent="0.35">
      <c r="I7" t="s">
        <v>8</v>
      </c>
      <c r="J7" s="3">
        <f>9327139+24285545</f>
        <v>33612684</v>
      </c>
      <c r="K7" t="s">
        <v>6</v>
      </c>
    </row>
    <row r="8" spans="9:11" x14ac:dyDescent="0.35">
      <c r="I8" t="s">
        <v>4</v>
      </c>
      <c r="J8" s="3">
        <f>J5+J7-J6</f>
        <v>53889740</v>
      </c>
    </row>
    <row r="9" spans="9:11" x14ac:dyDescent="0.35">
      <c r="I9" t="s">
        <v>10</v>
      </c>
      <c r="J9" s="3">
        <v>224034142</v>
      </c>
    </row>
    <row r="10" spans="9:11" x14ac:dyDescent="0.35">
      <c r="I10" t="s">
        <v>12</v>
      </c>
      <c r="J10" s="3">
        <v>115764287</v>
      </c>
    </row>
    <row r="12" spans="9:11" x14ac:dyDescent="0.35">
      <c r="I12" t="s">
        <v>9</v>
      </c>
      <c r="J12">
        <f>J7/J6</f>
        <v>1.767698290355207</v>
      </c>
    </row>
    <row r="13" spans="9:11" x14ac:dyDescent="0.35">
      <c r="I13" t="s">
        <v>11</v>
      </c>
      <c r="J13">
        <f>J7/J10</f>
        <v>0.29035452012933832</v>
      </c>
    </row>
    <row r="14" spans="9:11" x14ac:dyDescent="0.35">
      <c r="I14" t="s">
        <v>46</v>
      </c>
      <c r="J14">
        <f>J5/model!Q17</f>
        <v>2.969937508257805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443EF-7EDD-462E-8098-944CED6DA346}">
  <dimension ref="A1:BY35"/>
  <sheetViews>
    <sheetView tabSelected="1" zoomScaleNormal="10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U41" sqref="U41"/>
    </sheetView>
  </sheetViews>
  <sheetFormatPr defaultRowHeight="14.5" x14ac:dyDescent="0.35"/>
  <cols>
    <col min="1" max="1" width="5" bestFit="1" customWidth="1"/>
    <col min="2" max="2" width="32.1796875" bestFit="1" customWidth="1"/>
    <col min="3" max="3" width="10.453125" customWidth="1"/>
    <col min="4" max="4" width="9.26953125" customWidth="1"/>
    <col min="5" max="5" width="10.7265625" customWidth="1"/>
    <col min="6" max="6" width="11.26953125" bestFit="1" customWidth="1"/>
    <col min="7" max="11" width="9.90625" customWidth="1"/>
    <col min="12" max="15" width="10.7265625" bestFit="1" customWidth="1"/>
    <col min="16" max="16" width="14.54296875" bestFit="1" customWidth="1"/>
    <col min="17" max="17" width="10.7265625" bestFit="1" customWidth="1"/>
    <col min="18" max="18" width="11.90625" bestFit="1" customWidth="1"/>
    <col min="19" max="19" width="9.7265625" bestFit="1" customWidth="1"/>
    <col min="20" max="20" width="11.90625" bestFit="1" customWidth="1"/>
    <col min="21" max="21" width="15" bestFit="1" customWidth="1"/>
    <col min="22" max="76" width="9.7265625" bestFit="1" customWidth="1"/>
    <col min="77" max="77" width="10.81640625" bestFit="1" customWidth="1"/>
  </cols>
  <sheetData>
    <row r="1" spans="1:77" x14ac:dyDescent="0.35">
      <c r="A1" s="2" t="s">
        <v>13</v>
      </c>
      <c r="B1" t="s">
        <v>32</v>
      </c>
    </row>
    <row r="2" spans="1:77" x14ac:dyDescent="0.35">
      <c r="D2" t="s">
        <v>39</v>
      </c>
      <c r="E2" t="s">
        <v>7</v>
      </c>
      <c r="F2" t="s">
        <v>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P2">
        <v>2023</v>
      </c>
      <c r="Q2">
        <v>2024</v>
      </c>
      <c r="R2">
        <f>Q2+1</f>
        <v>2025</v>
      </c>
      <c r="S2">
        <f t="shared" ref="S2:BX2" si="0">R2+1</f>
        <v>2026</v>
      </c>
      <c r="T2">
        <f t="shared" si="0"/>
        <v>2027</v>
      </c>
      <c r="U2">
        <f t="shared" si="0"/>
        <v>2028</v>
      </c>
      <c r="V2">
        <f t="shared" si="0"/>
        <v>2029</v>
      </c>
      <c r="W2">
        <f t="shared" si="0"/>
        <v>2030</v>
      </c>
      <c r="X2">
        <f t="shared" si="0"/>
        <v>2031</v>
      </c>
      <c r="Y2">
        <f t="shared" si="0"/>
        <v>2032</v>
      </c>
      <c r="Z2">
        <f t="shared" si="0"/>
        <v>2033</v>
      </c>
      <c r="AA2">
        <f t="shared" si="0"/>
        <v>2034</v>
      </c>
      <c r="AB2">
        <f t="shared" si="0"/>
        <v>2035</v>
      </c>
      <c r="AC2">
        <f t="shared" si="0"/>
        <v>2036</v>
      </c>
      <c r="AD2">
        <f t="shared" si="0"/>
        <v>2037</v>
      </c>
      <c r="AE2">
        <f t="shared" si="0"/>
        <v>2038</v>
      </c>
      <c r="AF2">
        <f t="shared" si="0"/>
        <v>2039</v>
      </c>
      <c r="AG2">
        <f t="shared" si="0"/>
        <v>2040</v>
      </c>
      <c r="AH2">
        <f t="shared" si="0"/>
        <v>2041</v>
      </c>
      <c r="AI2">
        <f t="shared" si="0"/>
        <v>2042</v>
      </c>
      <c r="AJ2">
        <f t="shared" si="0"/>
        <v>2043</v>
      </c>
      <c r="AK2">
        <f t="shared" si="0"/>
        <v>2044</v>
      </c>
      <c r="AL2">
        <f t="shared" si="0"/>
        <v>2045</v>
      </c>
      <c r="AM2">
        <f t="shared" si="0"/>
        <v>2046</v>
      </c>
      <c r="AN2">
        <f t="shared" si="0"/>
        <v>2047</v>
      </c>
      <c r="AO2">
        <f t="shared" si="0"/>
        <v>2048</v>
      </c>
      <c r="AP2">
        <f t="shared" si="0"/>
        <v>2049</v>
      </c>
      <c r="AQ2">
        <f t="shared" si="0"/>
        <v>2050</v>
      </c>
      <c r="AR2">
        <f t="shared" si="0"/>
        <v>2051</v>
      </c>
      <c r="AS2">
        <f t="shared" si="0"/>
        <v>2052</v>
      </c>
      <c r="AT2">
        <f t="shared" si="0"/>
        <v>2053</v>
      </c>
      <c r="AU2">
        <f t="shared" si="0"/>
        <v>2054</v>
      </c>
      <c r="AV2">
        <f t="shared" si="0"/>
        <v>2055</v>
      </c>
      <c r="AW2">
        <f t="shared" si="0"/>
        <v>2056</v>
      </c>
      <c r="AX2">
        <f t="shared" si="0"/>
        <v>2057</v>
      </c>
      <c r="AY2">
        <f t="shared" si="0"/>
        <v>2058</v>
      </c>
      <c r="AZ2">
        <f t="shared" si="0"/>
        <v>2059</v>
      </c>
      <c r="BA2">
        <f t="shared" si="0"/>
        <v>2060</v>
      </c>
      <c r="BB2">
        <f t="shared" si="0"/>
        <v>2061</v>
      </c>
      <c r="BC2">
        <f t="shared" si="0"/>
        <v>2062</v>
      </c>
      <c r="BD2">
        <f t="shared" si="0"/>
        <v>2063</v>
      </c>
      <c r="BE2">
        <f t="shared" si="0"/>
        <v>2064</v>
      </c>
      <c r="BF2">
        <f t="shared" si="0"/>
        <v>2065</v>
      </c>
      <c r="BG2">
        <f t="shared" si="0"/>
        <v>2066</v>
      </c>
      <c r="BH2">
        <f t="shared" si="0"/>
        <v>2067</v>
      </c>
      <c r="BI2">
        <f t="shared" si="0"/>
        <v>2068</v>
      </c>
      <c r="BJ2">
        <f t="shared" si="0"/>
        <v>2069</v>
      </c>
      <c r="BK2">
        <f t="shared" si="0"/>
        <v>2070</v>
      </c>
      <c r="BL2">
        <f t="shared" si="0"/>
        <v>2071</v>
      </c>
      <c r="BM2">
        <f t="shared" si="0"/>
        <v>2072</v>
      </c>
      <c r="BN2">
        <f t="shared" si="0"/>
        <v>2073</v>
      </c>
      <c r="BO2">
        <f t="shared" si="0"/>
        <v>2074</v>
      </c>
      <c r="BP2">
        <f t="shared" si="0"/>
        <v>2075</v>
      </c>
      <c r="BQ2">
        <f t="shared" si="0"/>
        <v>2076</v>
      </c>
      <c r="BR2">
        <f t="shared" si="0"/>
        <v>2077</v>
      </c>
      <c r="BS2">
        <f t="shared" si="0"/>
        <v>2078</v>
      </c>
      <c r="BT2">
        <f t="shared" si="0"/>
        <v>2079</v>
      </c>
      <c r="BU2">
        <f t="shared" si="0"/>
        <v>2080</v>
      </c>
      <c r="BV2">
        <f t="shared" si="0"/>
        <v>2081</v>
      </c>
      <c r="BW2">
        <f t="shared" si="0"/>
        <v>2082</v>
      </c>
      <c r="BX2">
        <f t="shared" si="0"/>
        <v>2083</v>
      </c>
      <c r="BY2">
        <f>BX2+1</f>
        <v>2084</v>
      </c>
    </row>
    <row r="3" spans="1:77" x14ac:dyDescent="0.35">
      <c r="B3" t="s">
        <v>14</v>
      </c>
      <c r="D3" s="3">
        <v>40659000</v>
      </c>
      <c r="E3" s="3">
        <v>46624000</v>
      </c>
      <c r="F3" s="3">
        <v>44408000</v>
      </c>
      <c r="K3" s="3">
        <v>96812609</v>
      </c>
      <c r="L3" s="3">
        <v>105746422</v>
      </c>
      <c r="M3" s="3">
        <v>103997601</v>
      </c>
      <c r="N3" s="3">
        <v>117610626</v>
      </c>
      <c r="O3" s="3">
        <v>142527535</v>
      </c>
      <c r="P3" s="3">
        <v>162663579</v>
      </c>
      <c r="Q3" s="3">
        <v>175231153</v>
      </c>
      <c r="R3">
        <f>Q3*1.05</f>
        <v>183992710.65000001</v>
      </c>
      <c r="S3">
        <f>R3*1.03</f>
        <v>189512491.96950001</v>
      </c>
      <c r="T3">
        <f>S3*1.03</f>
        <v>195197866.728585</v>
      </c>
      <c r="U3">
        <f>T3*1</f>
        <v>195197866.728585</v>
      </c>
      <c r="V3">
        <f t="shared" ref="V3:BY3" si="1">U3*1</f>
        <v>195197866.728585</v>
      </c>
      <c r="W3">
        <f t="shared" si="1"/>
        <v>195197866.728585</v>
      </c>
      <c r="X3">
        <f t="shared" si="1"/>
        <v>195197866.728585</v>
      </c>
      <c r="Y3">
        <f t="shared" si="1"/>
        <v>195197866.728585</v>
      </c>
      <c r="Z3">
        <f t="shared" si="1"/>
        <v>195197866.728585</v>
      </c>
      <c r="AA3">
        <f t="shared" si="1"/>
        <v>195197866.728585</v>
      </c>
      <c r="AB3">
        <f t="shared" si="1"/>
        <v>195197866.728585</v>
      </c>
      <c r="AC3">
        <f t="shared" si="1"/>
        <v>195197866.728585</v>
      </c>
      <c r="AD3">
        <f t="shared" si="1"/>
        <v>195197866.728585</v>
      </c>
      <c r="AE3">
        <f t="shared" si="1"/>
        <v>195197866.728585</v>
      </c>
      <c r="AF3">
        <f t="shared" si="1"/>
        <v>195197866.728585</v>
      </c>
      <c r="AG3">
        <f t="shared" si="1"/>
        <v>195197866.728585</v>
      </c>
      <c r="AH3">
        <f t="shared" si="1"/>
        <v>195197866.728585</v>
      </c>
      <c r="AI3">
        <f t="shared" si="1"/>
        <v>195197866.728585</v>
      </c>
      <c r="AJ3">
        <f t="shared" si="1"/>
        <v>195197866.728585</v>
      </c>
      <c r="AK3">
        <f t="shared" si="1"/>
        <v>195197866.728585</v>
      </c>
      <c r="AL3">
        <f t="shared" si="1"/>
        <v>195197866.728585</v>
      </c>
      <c r="AM3">
        <f t="shared" si="1"/>
        <v>195197866.728585</v>
      </c>
      <c r="AN3">
        <f t="shared" si="1"/>
        <v>195197866.728585</v>
      </c>
      <c r="AO3">
        <f t="shared" si="1"/>
        <v>195197866.728585</v>
      </c>
      <c r="AP3">
        <f t="shared" si="1"/>
        <v>195197866.728585</v>
      </c>
      <c r="AQ3">
        <f t="shared" si="1"/>
        <v>195197866.728585</v>
      </c>
      <c r="AR3">
        <f t="shared" si="1"/>
        <v>195197866.728585</v>
      </c>
      <c r="AS3">
        <f t="shared" si="1"/>
        <v>195197866.728585</v>
      </c>
      <c r="AT3">
        <f t="shared" si="1"/>
        <v>195197866.728585</v>
      </c>
      <c r="AU3">
        <f t="shared" si="1"/>
        <v>195197866.728585</v>
      </c>
      <c r="AV3">
        <f t="shared" si="1"/>
        <v>195197866.728585</v>
      </c>
      <c r="AW3">
        <f t="shared" si="1"/>
        <v>195197866.728585</v>
      </c>
      <c r="AX3">
        <f t="shared" si="1"/>
        <v>195197866.728585</v>
      </c>
      <c r="AY3">
        <f t="shared" si="1"/>
        <v>195197866.728585</v>
      </c>
      <c r="AZ3">
        <f t="shared" si="1"/>
        <v>195197866.728585</v>
      </c>
      <c r="BA3">
        <f t="shared" si="1"/>
        <v>195197866.728585</v>
      </c>
      <c r="BB3">
        <f t="shared" si="1"/>
        <v>195197866.728585</v>
      </c>
      <c r="BC3">
        <f t="shared" si="1"/>
        <v>195197866.728585</v>
      </c>
      <c r="BD3">
        <f t="shared" si="1"/>
        <v>195197866.728585</v>
      </c>
      <c r="BE3">
        <f t="shared" si="1"/>
        <v>195197866.728585</v>
      </c>
      <c r="BF3">
        <f t="shared" si="1"/>
        <v>195197866.728585</v>
      </c>
      <c r="BG3">
        <f t="shared" si="1"/>
        <v>195197866.728585</v>
      </c>
      <c r="BH3">
        <f t="shared" si="1"/>
        <v>195197866.728585</v>
      </c>
      <c r="BI3">
        <f t="shared" si="1"/>
        <v>195197866.728585</v>
      </c>
      <c r="BJ3">
        <f t="shared" si="1"/>
        <v>195197866.728585</v>
      </c>
      <c r="BK3">
        <f t="shared" si="1"/>
        <v>195197866.728585</v>
      </c>
      <c r="BL3">
        <f t="shared" si="1"/>
        <v>195197866.728585</v>
      </c>
      <c r="BM3">
        <f t="shared" si="1"/>
        <v>195197866.728585</v>
      </c>
      <c r="BN3">
        <f t="shared" si="1"/>
        <v>195197866.728585</v>
      </c>
      <c r="BO3">
        <f t="shared" si="1"/>
        <v>195197866.728585</v>
      </c>
      <c r="BP3">
        <f t="shared" si="1"/>
        <v>195197866.728585</v>
      </c>
      <c r="BQ3">
        <f t="shared" si="1"/>
        <v>195197866.728585</v>
      </c>
      <c r="BR3">
        <f t="shared" si="1"/>
        <v>195197866.728585</v>
      </c>
      <c r="BS3">
        <f t="shared" si="1"/>
        <v>195197866.728585</v>
      </c>
      <c r="BT3">
        <f t="shared" si="1"/>
        <v>195197866.728585</v>
      </c>
      <c r="BU3">
        <f t="shared" si="1"/>
        <v>195197866.728585</v>
      </c>
      <c r="BV3">
        <f t="shared" si="1"/>
        <v>195197866.728585</v>
      </c>
      <c r="BW3">
        <f t="shared" si="1"/>
        <v>195197866.728585</v>
      </c>
      <c r="BX3">
        <f t="shared" si="1"/>
        <v>195197866.728585</v>
      </c>
      <c r="BY3">
        <f t="shared" si="1"/>
        <v>195197866.728585</v>
      </c>
    </row>
    <row r="4" spans="1:77" x14ac:dyDescent="0.35">
      <c r="B4" t="s">
        <v>15</v>
      </c>
      <c r="D4" s="3">
        <v>32231000</v>
      </c>
      <c r="E4" s="3">
        <v>37537000</v>
      </c>
      <c r="F4" s="3">
        <v>35428000</v>
      </c>
      <c r="K4" s="3">
        <v>81670479</v>
      </c>
      <c r="L4" s="3">
        <v>88091409</v>
      </c>
      <c r="M4" s="3">
        <v>85515931</v>
      </c>
      <c r="N4" s="3">
        <v>95680131</v>
      </c>
      <c r="O4" s="3">
        <v>114209483</v>
      </c>
      <c r="P4" s="3">
        <v>129179183</v>
      </c>
      <c r="Q4" s="3">
        <v>139481946</v>
      </c>
    </row>
    <row r="5" spans="1:77" x14ac:dyDescent="0.35">
      <c r="B5" t="s">
        <v>16</v>
      </c>
      <c r="D5" s="3">
        <f>D3-D4</f>
        <v>8428000</v>
      </c>
      <c r="E5" s="3">
        <f t="shared" ref="E5:F5" si="2">E3-E4</f>
        <v>9087000</v>
      </c>
      <c r="F5" s="3">
        <f t="shared" si="2"/>
        <v>8980000</v>
      </c>
      <c r="K5" s="3">
        <f t="shared" ref="K5:Q5" si="3">K3-K4</f>
        <v>15142130</v>
      </c>
      <c r="L5" s="3">
        <f t="shared" si="3"/>
        <v>17655013</v>
      </c>
      <c r="M5" s="3">
        <f t="shared" si="3"/>
        <v>18481670</v>
      </c>
      <c r="N5" s="3">
        <f t="shared" si="3"/>
        <v>21930495</v>
      </c>
      <c r="O5" s="3">
        <f t="shared" si="3"/>
        <v>28318052</v>
      </c>
      <c r="P5" s="3">
        <f t="shared" si="3"/>
        <v>33484396</v>
      </c>
      <c r="Q5" s="3">
        <f t="shared" si="3"/>
        <v>35749207</v>
      </c>
    </row>
    <row r="6" spans="1:77" x14ac:dyDescent="0.35">
      <c r="B6" t="s">
        <v>17</v>
      </c>
      <c r="D6" s="3">
        <v>4870000</v>
      </c>
      <c r="E6" s="3">
        <v>6264000</v>
      </c>
      <c r="F6" s="3">
        <v>5346000</v>
      </c>
      <c r="K6" s="3">
        <v>12719965</v>
      </c>
      <c r="L6" s="3">
        <v>14049508</v>
      </c>
      <c r="M6" s="3">
        <v>16086999</v>
      </c>
      <c r="N6" s="3">
        <v>15251546</v>
      </c>
      <c r="O6" s="3">
        <v>18498283</v>
      </c>
      <c r="P6" s="3">
        <v>18357495</v>
      </c>
      <c r="Q6" s="3">
        <v>21509615</v>
      </c>
    </row>
    <row r="7" spans="1:77" x14ac:dyDescent="0.35">
      <c r="B7" t="s">
        <v>18</v>
      </c>
      <c r="D7" s="3">
        <f>D5-D6</f>
        <v>3558000</v>
      </c>
      <c r="E7" s="3">
        <f t="shared" ref="E7:F7" si="4">E5-E6</f>
        <v>2823000</v>
      </c>
      <c r="F7" s="3">
        <f t="shared" si="4"/>
        <v>3634000</v>
      </c>
      <c r="K7" s="3">
        <f t="shared" ref="K7:Q7" si="5">K5-K6</f>
        <v>2422165</v>
      </c>
      <c r="L7" s="3">
        <f t="shared" si="5"/>
        <v>3605505</v>
      </c>
      <c r="M7" s="3">
        <f t="shared" si="5"/>
        <v>2394671</v>
      </c>
      <c r="N7" s="3">
        <f t="shared" si="5"/>
        <v>6678949</v>
      </c>
      <c r="O7" s="3">
        <f t="shared" si="5"/>
        <v>9819769</v>
      </c>
      <c r="P7" s="3">
        <f t="shared" si="5"/>
        <v>15126901</v>
      </c>
      <c r="Q7" s="3">
        <f t="shared" si="5"/>
        <v>14239592</v>
      </c>
    </row>
    <row r="8" spans="1:77" x14ac:dyDescent="0.35">
      <c r="B8" t="s">
        <v>19</v>
      </c>
      <c r="D8" s="3"/>
      <c r="K8" s="3">
        <v>404541</v>
      </c>
      <c r="L8" s="3">
        <v>542826</v>
      </c>
      <c r="M8" s="3">
        <v>162162</v>
      </c>
      <c r="N8" s="3">
        <v>1303365</v>
      </c>
      <c r="O8" s="3">
        <v>1556583</v>
      </c>
      <c r="P8" s="3">
        <v>2470933</v>
      </c>
      <c r="Q8" s="3">
        <v>3114032</v>
      </c>
    </row>
    <row r="9" spans="1:77" x14ac:dyDescent="0.35">
      <c r="B9" t="s">
        <v>20</v>
      </c>
      <c r="D9" s="3"/>
      <c r="K9" s="3">
        <v>823499</v>
      </c>
      <c r="L9" s="3">
        <v>827120</v>
      </c>
      <c r="M9" s="3">
        <v>813916</v>
      </c>
      <c r="N9" s="3">
        <v>912802</v>
      </c>
      <c r="O9" s="3">
        <v>1218813</v>
      </c>
      <c r="P9" s="3">
        <v>1559538</v>
      </c>
      <c r="Q9" s="3">
        <v>1531248</v>
      </c>
    </row>
    <row r="10" spans="1:77" x14ac:dyDescent="0.35">
      <c r="B10" t="s">
        <v>21</v>
      </c>
      <c r="D10" s="3"/>
      <c r="K10" s="3">
        <v>600867</v>
      </c>
      <c r="L10" s="3">
        <v>475218</v>
      </c>
      <c r="M10" s="3">
        <v>955991</v>
      </c>
      <c r="N10" s="3">
        <v>548410</v>
      </c>
      <c r="O10" s="3">
        <v>1054228</v>
      </c>
      <c r="P10" s="3">
        <v>970700</v>
      </c>
      <c r="Q10" s="3">
        <v>898551</v>
      </c>
    </row>
    <row r="11" spans="1:77" x14ac:dyDescent="0.35">
      <c r="B11" t="s">
        <v>22</v>
      </c>
      <c r="D11" s="3"/>
      <c r="K11" s="3">
        <v>967281</v>
      </c>
      <c r="L11" s="3">
        <v>1120958</v>
      </c>
      <c r="M11" s="3">
        <v>1308642</v>
      </c>
      <c r="N11" s="3">
        <v>1447261</v>
      </c>
      <c r="O11" s="3">
        <v>2257113</v>
      </c>
      <c r="P11" s="3">
        <v>1782333</v>
      </c>
      <c r="Q11" s="3">
        <v>2067530</v>
      </c>
    </row>
    <row r="12" spans="1:77" x14ac:dyDescent="0.35">
      <c r="B12" t="s">
        <v>23</v>
      </c>
      <c r="D12" s="3"/>
      <c r="K12" s="3">
        <v>1487037</v>
      </c>
      <c r="L12" s="3">
        <v>1457425</v>
      </c>
      <c r="M12" s="3">
        <v>1630144</v>
      </c>
      <c r="N12" s="3">
        <v>1834405</v>
      </c>
      <c r="O12" s="3">
        <v>2850107</v>
      </c>
      <c r="P12" s="3">
        <v>2350343</v>
      </c>
      <c r="Q12" s="3">
        <v>2272415</v>
      </c>
    </row>
    <row r="13" spans="1:77" x14ac:dyDescent="0.35">
      <c r="B13" t="s">
        <v>24</v>
      </c>
      <c r="D13" s="3"/>
      <c r="K13" s="3">
        <f t="shared" ref="K13:Q13" si="6">K7+K8+K9-K10+K11-K12</f>
        <v>2529582</v>
      </c>
      <c r="L13" s="3">
        <f t="shared" si="6"/>
        <v>4163766</v>
      </c>
      <c r="M13" s="3">
        <f t="shared" si="6"/>
        <v>2093256</v>
      </c>
      <c r="N13" s="3">
        <f t="shared" si="6"/>
        <v>7959562</v>
      </c>
      <c r="O13" s="3">
        <f t="shared" si="6"/>
        <v>10947943</v>
      </c>
      <c r="P13" s="3">
        <f t="shared" si="6"/>
        <v>17618662</v>
      </c>
      <c r="Q13" s="3">
        <f t="shared" si="6"/>
        <v>17781436</v>
      </c>
    </row>
    <row r="14" spans="1:77" x14ac:dyDescent="0.35">
      <c r="B14" t="s">
        <v>25</v>
      </c>
      <c r="D14" s="3"/>
      <c r="K14" s="3">
        <v>884563</v>
      </c>
      <c r="L14" s="3">
        <v>978120</v>
      </c>
      <c r="M14" s="3">
        <v>168703</v>
      </c>
      <c r="N14" s="3">
        <v>2266485</v>
      </c>
      <c r="O14" s="3">
        <v>2964614</v>
      </c>
      <c r="P14" s="3">
        <v>4626640</v>
      </c>
      <c r="Q14" s="3">
        <v>4232418</v>
      </c>
    </row>
    <row r="15" spans="1:77" x14ac:dyDescent="0.35">
      <c r="B15" t="s">
        <v>26</v>
      </c>
      <c r="D15" s="3"/>
      <c r="K15" s="3">
        <f t="shared" ref="K15:Q15" si="7">K13-K14</f>
        <v>1645019</v>
      </c>
      <c r="L15" s="3">
        <f t="shared" si="7"/>
        <v>3185646</v>
      </c>
      <c r="M15" s="3">
        <f t="shared" si="7"/>
        <v>1924553</v>
      </c>
      <c r="N15" s="3">
        <f t="shared" si="7"/>
        <v>5693077</v>
      </c>
      <c r="O15" s="3">
        <f t="shared" si="7"/>
        <v>7983329</v>
      </c>
      <c r="P15" s="3">
        <f t="shared" si="7"/>
        <v>12992022</v>
      </c>
      <c r="Q15" s="3">
        <f t="shared" si="7"/>
        <v>13549018</v>
      </c>
    </row>
    <row r="16" spans="1:77" x14ac:dyDescent="0.35">
      <c r="B16" t="s">
        <v>27</v>
      </c>
      <c r="D16" s="3"/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-719721</v>
      </c>
      <c r="Q16" s="3">
        <v>-319110</v>
      </c>
    </row>
    <row r="17" spans="2:77" x14ac:dyDescent="0.35">
      <c r="B17" t="s">
        <v>28</v>
      </c>
      <c r="D17" s="3">
        <v>3376000</v>
      </c>
      <c r="E17" s="1">
        <v>2474000</v>
      </c>
      <c r="F17" s="1">
        <v>3382000</v>
      </c>
      <c r="K17" s="3">
        <f t="shared" ref="K17:Q17" si="8">K15+K16</f>
        <v>1645019</v>
      </c>
      <c r="L17" s="3">
        <f t="shared" si="8"/>
        <v>3185646</v>
      </c>
      <c r="M17" s="3">
        <f t="shared" si="8"/>
        <v>1924553</v>
      </c>
      <c r="N17" s="3">
        <f t="shared" si="8"/>
        <v>5693077</v>
      </c>
      <c r="O17" s="3">
        <f t="shared" si="8"/>
        <v>7983329</v>
      </c>
      <c r="P17" s="3">
        <f t="shared" si="8"/>
        <v>12272301</v>
      </c>
      <c r="Q17" s="3">
        <f t="shared" si="8"/>
        <v>13229908</v>
      </c>
      <c r="R17" s="3">
        <f>R3*R23</f>
        <v>9199635.5325000007</v>
      </c>
      <c r="S17" s="3">
        <f t="shared" ref="S17:BX17" si="9">S3*S23</f>
        <v>9475624.5984749999</v>
      </c>
      <c r="T17" s="3">
        <f t="shared" si="9"/>
        <v>9759893.3364292514</v>
      </c>
      <c r="U17" s="3">
        <f t="shared" si="9"/>
        <v>9759893.3364292514</v>
      </c>
      <c r="V17" s="3">
        <f t="shared" si="9"/>
        <v>9759893.3364292514</v>
      </c>
      <c r="W17" s="3">
        <f t="shared" si="9"/>
        <v>9759893.3364292514</v>
      </c>
      <c r="X17" s="3">
        <f t="shared" si="9"/>
        <v>9759893.3364292514</v>
      </c>
      <c r="Y17" s="3">
        <f t="shared" si="9"/>
        <v>9759893.3364292514</v>
      </c>
      <c r="Z17" s="3">
        <f t="shared" si="9"/>
        <v>9759893.3364292514</v>
      </c>
      <c r="AA17" s="3">
        <f t="shared" si="9"/>
        <v>9759893.3364292514</v>
      </c>
      <c r="AB17" s="3">
        <f t="shared" si="9"/>
        <v>9759893.3364292514</v>
      </c>
      <c r="AC17" s="3">
        <f t="shared" si="9"/>
        <v>9759893.3364292514</v>
      </c>
      <c r="AD17" s="3">
        <f t="shared" si="9"/>
        <v>9759893.3364292514</v>
      </c>
      <c r="AE17" s="3">
        <f t="shared" si="9"/>
        <v>9759893.3364292514</v>
      </c>
      <c r="AF17" s="3">
        <f t="shared" si="9"/>
        <v>9759893.3364292514</v>
      </c>
      <c r="AG17" s="3">
        <f t="shared" si="9"/>
        <v>9759893.3364292514</v>
      </c>
      <c r="AH17" s="3">
        <f t="shared" si="9"/>
        <v>9759893.3364292514</v>
      </c>
      <c r="AI17" s="3">
        <f t="shared" si="9"/>
        <v>9759893.3364292514</v>
      </c>
      <c r="AJ17" s="3">
        <f t="shared" si="9"/>
        <v>9759893.3364292514</v>
      </c>
      <c r="AK17" s="3">
        <f t="shared" si="9"/>
        <v>9759893.3364292514</v>
      </c>
      <c r="AL17" s="3">
        <f t="shared" si="9"/>
        <v>9759893.3364292514</v>
      </c>
      <c r="AM17" s="3">
        <f t="shared" si="9"/>
        <v>9759893.3364292514</v>
      </c>
      <c r="AN17" s="3">
        <f t="shared" si="9"/>
        <v>9759893.3364292514</v>
      </c>
      <c r="AO17" s="3">
        <f t="shared" si="9"/>
        <v>9759893.3364292514</v>
      </c>
      <c r="AP17" s="3">
        <f t="shared" si="9"/>
        <v>9759893.3364292514</v>
      </c>
      <c r="AQ17" s="3">
        <f t="shared" si="9"/>
        <v>9759893.3364292514</v>
      </c>
      <c r="AR17" s="3">
        <f t="shared" si="9"/>
        <v>9759893.3364292514</v>
      </c>
      <c r="AS17" s="3">
        <f t="shared" si="9"/>
        <v>9759893.3364292514</v>
      </c>
      <c r="AT17" s="3">
        <f t="shared" si="9"/>
        <v>9759893.3364292514</v>
      </c>
      <c r="AU17" s="3">
        <f t="shared" si="9"/>
        <v>9759893.3364292514</v>
      </c>
      <c r="AV17" s="3">
        <f t="shared" si="9"/>
        <v>9759893.3364292514</v>
      </c>
      <c r="AW17" s="3">
        <f t="shared" si="9"/>
        <v>9759893.3364292514</v>
      </c>
      <c r="AX17" s="3">
        <f t="shared" si="9"/>
        <v>9759893.3364292514</v>
      </c>
      <c r="AY17" s="3">
        <f t="shared" si="9"/>
        <v>9759893.3364292514</v>
      </c>
      <c r="AZ17" s="3">
        <f t="shared" si="9"/>
        <v>9759893.3364292514</v>
      </c>
      <c r="BA17" s="3">
        <f t="shared" si="9"/>
        <v>9759893.3364292514</v>
      </c>
      <c r="BB17" s="3">
        <f t="shared" si="9"/>
        <v>9759893.3364292514</v>
      </c>
      <c r="BC17" s="3">
        <f t="shared" si="9"/>
        <v>9759893.3364292514</v>
      </c>
      <c r="BD17" s="3">
        <f t="shared" si="9"/>
        <v>9759893.3364292514</v>
      </c>
      <c r="BE17" s="3">
        <f t="shared" si="9"/>
        <v>9759893.3364292514</v>
      </c>
      <c r="BF17" s="3">
        <f t="shared" si="9"/>
        <v>9759893.3364292514</v>
      </c>
      <c r="BG17" s="3">
        <f t="shared" si="9"/>
        <v>9759893.3364292514</v>
      </c>
      <c r="BH17" s="3">
        <f t="shared" si="9"/>
        <v>9759893.3364292514</v>
      </c>
      <c r="BI17" s="3">
        <f t="shared" si="9"/>
        <v>9759893.3364292514</v>
      </c>
      <c r="BJ17" s="3">
        <f t="shared" si="9"/>
        <v>9759893.3364292514</v>
      </c>
      <c r="BK17" s="3">
        <f t="shared" si="9"/>
        <v>9759893.3364292514</v>
      </c>
      <c r="BL17" s="3">
        <f t="shared" si="9"/>
        <v>9759893.3364292514</v>
      </c>
      <c r="BM17" s="3">
        <f t="shared" si="9"/>
        <v>9759893.3364292514</v>
      </c>
      <c r="BN17" s="3">
        <f t="shared" si="9"/>
        <v>9759893.3364292514</v>
      </c>
      <c r="BO17" s="3">
        <f t="shared" si="9"/>
        <v>9759893.3364292514</v>
      </c>
      <c r="BP17" s="3">
        <f t="shared" si="9"/>
        <v>9759893.3364292514</v>
      </c>
      <c r="BQ17" s="3">
        <f t="shared" si="9"/>
        <v>9759893.3364292514</v>
      </c>
      <c r="BR17" s="3">
        <f t="shared" si="9"/>
        <v>9759893.3364292514</v>
      </c>
      <c r="BS17" s="3">
        <f t="shared" si="9"/>
        <v>9759893.3364292514</v>
      </c>
      <c r="BT17" s="3">
        <f t="shared" si="9"/>
        <v>9759893.3364292514</v>
      </c>
      <c r="BU17" s="3">
        <f t="shared" si="9"/>
        <v>9759893.3364292514</v>
      </c>
      <c r="BV17" s="3">
        <f t="shared" si="9"/>
        <v>9759893.3364292514</v>
      </c>
      <c r="BW17" s="3">
        <f t="shared" si="9"/>
        <v>9759893.3364292514</v>
      </c>
      <c r="BX17" s="3">
        <f t="shared" si="9"/>
        <v>9759893.3364292514</v>
      </c>
      <c r="BY17">
        <f>BY3*BY23</f>
        <v>9759893.3364292514</v>
      </c>
    </row>
    <row r="18" spans="2:77" x14ac:dyDescent="0.35">
      <c r="B18" t="s">
        <v>29</v>
      </c>
      <c r="D18" s="3">
        <v>12526691</v>
      </c>
      <c r="K18" s="3">
        <v>1508084</v>
      </c>
      <c r="L18" s="3">
        <v>2980049</v>
      </c>
      <c r="M18" s="3">
        <v>1424436</v>
      </c>
      <c r="N18" s="3">
        <v>4942356</v>
      </c>
      <c r="O18" s="3">
        <v>7364364</v>
      </c>
      <c r="P18" s="3">
        <v>12526691</v>
      </c>
      <c r="Q18" s="3">
        <v>12526691</v>
      </c>
    </row>
    <row r="19" spans="2:77" x14ac:dyDescent="0.35">
      <c r="B19" t="s">
        <v>30</v>
      </c>
      <c r="D19" s="3">
        <v>11961717</v>
      </c>
      <c r="K19" s="3">
        <v>136935</v>
      </c>
      <c r="L19" s="3">
        <v>205597</v>
      </c>
      <c r="M19" s="3">
        <v>500117</v>
      </c>
      <c r="N19" s="3">
        <v>750721</v>
      </c>
      <c r="O19" s="3">
        <v>619250</v>
      </c>
      <c r="P19" s="3">
        <v>11961717</v>
      </c>
      <c r="Q19" s="3">
        <v>703217</v>
      </c>
    </row>
    <row r="20" spans="2:77" x14ac:dyDescent="0.35">
      <c r="B20" t="s">
        <v>31</v>
      </c>
      <c r="D20" s="3">
        <v>310584</v>
      </c>
      <c r="K20" s="3">
        <v>5632</v>
      </c>
      <c r="L20" s="3">
        <v>11310</v>
      </c>
      <c r="M20" s="3">
        <v>5454</v>
      </c>
      <c r="N20" s="3">
        <v>18976</v>
      </c>
      <c r="O20" s="3">
        <v>28521</v>
      </c>
      <c r="P20" s="3">
        <v>310584</v>
      </c>
      <c r="Q20" s="3">
        <v>47615</v>
      </c>
    </row>
    <row r="21" spans="2:77" x14ac:dyDescent="0.35">
      <c r="D21" s="3"/>
      <c r="K21" s="3"/>
      <c r="L21" s="3"/>
      <c r="M21" s="3"/>
      <c r="N21" s="3"/>
      <c r="O21" s="3"/>
      <c r="P21" s="3"/>
      <c r="Q21" s="3"/>
    </row>
    <row r="22" spans="2:77" x14ac:dyDescent="0.35">
      <c r="D22" s="3"/>
      <c r="K22" s="3"/>
      <c r="L22" s="3"/>
      <c r="M22" s="3"/>
      <c r="N22" s="3"/>
      <c r="O22" s="3"/>
      <c r="P22" s="3"/>
      <c r="Q22" s="3"/>
    </row>
    <row r="23" spans="2:77" x14ac:dyDescent="0.35">
      <c r="B23" t="s">
        <v>33</v>
      </c>
      <c r="D23" s="4">
        <f t="shared" ref="D23:F23" si="10">D17/D3</f>
        <v>8.3032047025258862E-2</v>
      </c>
      <c r="E23" s="4">
        <f t="shared" si="10"/>
        <v>5.306280027453672E-2</v>
      </c>
      <c r="F23" s="4">
        <f t="shared" si="10"/>
        <v>7.6157449108268785E-2</v>
      </c>
      <c r="K23" s="4">
        <f t="shared" ref="K23:Q23" si="11">K17/K3</f>
        <v>1.6991784613510415E-2</v>
      </c>
      <c r="L23" s="4">
        <f t="shared" si="11"/>
        <v>3.0125331332723486E-2</v>
      </c>
      <c r="M23" s="4">
        <f t="shared" si="11"/>
        <v>1.8505744185387508E-2</v>
      </c>
      <c r="N23" s="4">
        <f t="shared" si="11"/>
        <v>4.8406144866536126E-2</v>
      </c>
      <c r="O23" s="4">
        <f t="shared" si="11"/>
        <v>5.6012538208845046E-2</v>
      </c>
      <c r="P23" s="4">
        <f t="shared" si="11"/>
        <v>7.544590544143874E-2</v>
      </c>
      <c r="Q23" s="4">
        <f t="shared" si="11"/>
        <v>7.5499748609198503E-2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0.05</v>
      </c>
      <c r="Y23">
        <v>0.05</v>
      </c>
      <c r="Z23">
        <v>0.05</v>
      </c>
      <c r="AA23">
        <v>0.05</v>
      </c>
      <c r="AB23">
        <v>0.05</v>
      </c>
      <c r="AC23">
        <v>0.05</v>
      </c>
      <c r="AD23">
        <v>0.05</v>
      </c>
      <c r="AE23">
        <v>0.05</v>
      </c>
      <c r="AF23">
        <v>0.05</v>
      </c>
      <c r="AG23">
        <v>0.05</v>
      </c>
      <c r="AH23">
        <v>0.05</v>
      </c>
      <c r="AI23">
        <v>0.05</v>
      </c>
      <c r="AJ23">
        <v>0.05</v>
      </c>
      <c r="AK23">
        <v>0.05</v>
      </c>
      <c r="AL23">
        <v>0.05</v>
      </c>
      <c r="AM23">
        <v>0.05</v>
      </c>
      <c r="AN23">
        <v>0.05</v>
      </c>
      <c r="AO23">
        <v>0.05</v>
      </c>
      <c r="AP23">
        <v>0.05</v>
      </c>
      <c r="AQ23">
        <v>0.05</v>
      </c>
      <c r="AR23">
        <v>0.05</v>
      </c>
      <c r="AS23">
        <v>0.05</v>
      </c>
      <c r="AT23">
        <v>0.05</v>
      </c>
      <c r="AU23">
        <v>0.05</v>
      </c>
      <c r="AV23">
        <v>0.05</v>
      </c>
      <c r="AW23">
        <v>0.05</v>
      </c>
      <c r="AX23">
        <v>0.05</v>
      </c>
      <c r="AY23">
        <v>0.05</v>
      </c>
      <c r="AZ23">
        <v>0.05</v>
      </c>
      <c r="BA23">
        <v>0.05</v>
      </c>
      <c r="BB23">
        <v>0.05</v>
      </c>
      <c r="BC23">
        <v>0.05</v>
      </c>
      <c r="BD23">
        <v>0.05</v>
      </c>
      <c r="BE23">
        <v>0.05</v>
      </c>
      <c r="BF23">
        <v>0.05</v>
      </c>
      <c r="BG23">
        <v>0.05</v>
      </c>
      <c r="BH23">
        <v>0.05</v>
      </c>
      <c r="BI23">
        <v>0.05</v>
      </c>
      <c r="BJ23">
        <v>0.05</v>
      </c>
      <c r="BK23">
        <v>0.05</v>
      </c>
      <c r="BL23">
        <v>0.05</v>
      </c>
      <c r="BM23">
        <v>0.05</v>
      </c>
      <c r="BN23">
        <v>0.05</v>
      </c>
      <c r="BO23">
        <v>0.05</v>
      </c>
      <c r="BP23">
        <v>0.05</v>
      </c>
      <c r="BQ23">
        <v>0.05</v>
      </c>
      <c r="BR23">
        <v>0.05</v>
      </c>
      <c r="BS23">
        <v>0.05</v>
      </c>
      <c r="BT23">
        <v>0.05</v>
      </c>
      <c r="BU23">
        <v>0.05</v>
      </c>
      <c r="BV23">
        <v>0.05</v>
      </c>
      <c r="BW23">
        <v>0.05</v>
      </c>
      <c r="BX23">
        <v>0.05</v>
      </c>
      <c r="BY23">
        <v>0.05</v>
      </c>
    </row>
    <row r="24" spans="2:77" x14ac:dyDescent="0.35">
      <c r="B24" t="s">
        <v>34</v>
      </c>
      <c r="K24" s="4">
        <f t="shared" ref="K24" si="12">K7/K3</f>
        <v>2.5019106757054755E-2</v>
      </c>
      <c r="L24" s="4">
        <f t="shared" ref="L24:O24" si="13">L7/L3</f>
        <v>3.4095763542713528E-2</v>
      </c>
      <c r="M24" s="4">
        <f t="shared" si="13"/>
        <v>2.3026213845067447E-2</v>
      </c>
      <c r="N24" s="4">
        <f t="shared" si="13"/>
        <v>5.6788652753195959E-2</v>
      </c>
      <c r="O24" s="4">
        <f t="shared" si="13"/>
        <v>6.8897346747770524E-2</v>
      </c>
      <c r="P24" s="4">
        <f>P7/P3</f>
        <v>9.2995009042558932E-2</v>
      </c>
      <c r="Q24" s="4">
        <f>Q7/Q3</f>
        <v>8.1261760572904518E-2</v>
      </c>
    </row>
    <row r="25" spans="2:77" x14ac:dyDescent="0.35">
      <c r="B25" t="s">
        <v>40</v>
      </c>
      <c r="E25" s="4">
        <f>E17/D17-1</f>
        <v>-0.26718009478672988</v>
      </c>
      <c r="F25" s="4">
        <f>F17/E17-1</f>
        <v>0.36701697655618437</v>
      </c>
      <c r="K25" s="4"/>
      <c r="L25" s="4">
        <f>L17/K17-1</f>
        <v>0.93654055059546426</v>
      </c>
      <c r="M25" s="4">
        <f>M17/L17-1</f>
        <v>-0.39586727464382421</v>
      </c>
      <c r="N25" s="4">
        <f>N17/M17-1</f>
        <v>1.9581294981224211</v>
      </c>
      <c r="O25" s="4">
        <f t="shared" ref="O25:P25" si="14">O17/N17-1</f>
        <v>0.40228719899625465</v>
      </c>
      <c r="P25" s="4">
        <f t="shared" si="14"/>
        <v>0.53724104317885435</v>
      </c>
      <c r="Q25" s="4">
        <f>Q17/P17-1</f>
        <v>7.8029947277205691E-2</v>
      </c>
    </row>
    <row r="26" spans="2:77" x14ac:dyDescent="0.35">
      <c r="B26" t="s">
        <v>41</v>
      </c>
      <c r="K26" s="4"/>
      <c r="L26" s="4">
        <f>L3/K3-1</f>
        <v>9.2279436452332275E-2</v>
      </c>
      <c r="M26" s="4">
        <f>M3/L3-1</f>
        <v>-1.6537873971754768E-2</v>
      </c>
      <c r="N26" s="4">
        <f>N3/M3-1</f>
        <v>0.1308974906065381</v>
      </c>
      <c r="O26" s="4">
        <f>O3/N3-1</f>
        <v>0.2118593348869684</v>
      </c>
      <c r="P26" s="4">
        <f t="shared" ref="P26:Q26" si="15">P3/O3-1</f>
        <v>0.14127827300177476</v>
      </c>
      <c r="Q26" s="4">
        <f t="shared" si="15"/>
        <v>7.7261142766322566E-2</v>
      </c>
    </row>
    <row r="27" spans="2:77" x14ac:dyDescent="0.35">
      <c r="K27" s="4"/>
      <c r="L27" s="4"/>
      <c r="M27" s="4"/>
      <c r="N27" s="4"/>
      <c r="O27" s="4"/>
      <c r="P27" s="4"/>
      <c r="Q27" s="4"/>
    </row>
    <row r="28" spans="2:77" x14ac:dyDescent="0.35">
      <c r="K28" s="4"/>
      <c r="L28" s="4"/>
      <c r="M28" s="4"/>
      <c r="N28" s="4"/>
      <c r="O28" s="4"/>
      <c r="P28" s="4"/>
      <c r="Q28" s="4"/>
    </row>
    <row r="29" spans="2:77" x14ac:dyDescent="0.35">
      <c r="K29" s="4"/>
      <c r="L29" s="4"/>
      <c r="M29" s="4"/>
      <c r="N29" s="4"/>
      <c r="O29" s="4"/>
      <c r="P29" s="4"/>
      <c r="Q29" s="4"/>
    </row>
    <row r="30" spans="2:77" x14ac:dyDescent="0.35">
      <c r="B30" t="s">
        <v>35</v>
      </c>
      <c r="P30">
        <v>-2518760</v>
      </c>
      <c r="Q30" s="3">
        <v>-5661641</v>
      </c>
      <c r="T30" t="s">
        <v>42</v>
      </c>
      <c r="U30" s="4">
        <v>0.01</v>
      </c>
    </row>
    <row r="31" spans="2:77" x14ac:dyDescent="0.35">
      <c r="B31" t="s">
        <v>36</v>
      </c>
      <c r="Q31" s="3"/>
      <c r="T31" t="s">
        <v>43</v>
      </c>
      <c r="U31" s="4">
        <v>0.09</v>
      </c>
    </row>
    <row r="32" spans="2:77" x14ac:dyDescent="0.35">
      <c r="B32" t="s">
        <v>37</v>
      </c>
      <c r="P32" t="s">
        <v>38</v>
      </c>
      <c r="Q32" t="s">
        <v>38</v>
      </c>
      <c r="T32" t="s">
        <v>44</v>
      </c>
      <c r="U32" s="5">
        <f>NPV(U31,R17:BY17)</f>
        <v>107073952.64652884</v>
      </c>
    </row>
    <row r="33" spans="17:22" x14ac:dyDescent="0.35">
      <c r="Q33" s="3"/>
      <c r="T33" t="s">
        <v>45</v>
      </c>
      <c r="U33" s="5">
        <f>U32/main!J4</f>
        <v>512315.56290205184</v>
      </c>
    </row>
    <row r="34" spans="17:22" x14ac:dyDescent="0.35">
      <c r="Q34" s="3"/>
      <c r="U34" s="1">
        <v>188000</v>
      </c>
      <c r="V34" s="7"/>
    </row>
    <row r="35" spans="17:22" x14ac:dyDescent="0.35">
      <c r="U35" s="6">
        <f>U33/U34-1</f>
        <v>1.7250827813938927</v>
      </c>
    </row>
  </sheetData>
  <hyperlinks>
    <hyperlink ref="A1" location="main!A1" display="main" xr:uid="{8607A8D4-9CC7-48DA-9F33-B93174E0F1A4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2025-05-22T21:58:28Z</dcterms:modified>
</cp:coreProperties>
</file>