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models\JBS\"/>
    </mc:Choice>
  </mc:AlternateContent>
  <xr:revisionPtr revIDLastSave="0" documentId="13_ncr:1_{619CA9D6-9DAC-46A4-9920-E36A64768928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main" sheetId="1" r:id="rId1"/>
    <sheet name="model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T60" i="2"/>
  <c r="T46" i="2"/>
  <c r="T45" i="2"/>
  <c r="U3" i="2" l="1"/>
  <c r="U5" i="2" s="1"/>
  <c r="U20" i="2" s="1"/>
  <c r="O40" i="2"/>
  <c r="G16" i="1"/>
  <c r="F16" i="1"/>
  <c r="E16" i="1"/>
  <c r="D16" i="1"/>
  <c r="C16" i="1"/>
  <c r="I15" i="1"/>
  <c r="I14" i="1"/>
  <c r="T30" i="2"/>
  <c r="T31" i="2" s="1"/>
  <c r="S30" i="2"/>
  <c r="S31" i="2" s="1"/>
  <c r="R30" i="2"/>
  <c r="R31" i="2" s="1"/>
  <c r="S58" i="2"/>
  <c r="M12" i="1"/>
  <c r="S45" i="2"/>
  <c r="S59" i="2" s="1"/>
  <c r="P18" i="2"/>
  <c r="P17" i="2"/>
  <c r="P15" i="2"/>
  <c r="P13" i="2"/>
  <c r="P12" i="2"/>
  <c r="P9" i="2"/>
  <c r="P8" i="2"/>
  <c r="P7" i="2"/>
  <c r="P6" i="2"/>
  <c r="P4" i="2"/>
  <c r="P3" i="2"/>
  <c r="Q22" i="2" s="1"/>
  <c r="P27" i="2"/>
  <c r="O19" i="2"/>
  <c r="P19" i="2" s="1"/>
  <c r="O14" i="2"/>
  <c r="P14" i="2" s="1"/>
  <c r="O10" i="2"/>
  <c r="P10" i="2" s="1"/>
  <c r="O5" i="2"/>
  <c r="T22" i="2"/>
  <c r="S22" i="2"/>
  <c r="R22" i="2"/>
  <c r="K5" i="2"/>
  <c r="K10" i="2"/>
  <c r="K14" i="2"/>
  <c r="K19" i="2"/>
  <c r="G19" i="2"/>
  <c r="G14" i="2"/>
  <c r="G10" i="2"/>
  <c r="G5" i="2"/>
  <c r="E5" i="2"/>
  <c r="E10" i="2"/>
  <c r="E14" i="2"/>
  <c r="E16" i="2" s="1"/>
  <c r="E19" i="2"/>
  <c r="D14" i="2"/>
  <c r="D16" i="2" s="1"/>
  <c r="I14" i="2"/>
  <c r="I16" i="2" s="1"/>
  <c r="I19" i="2"/>
  <c r="I10" i="2"/>
  <c r="I5" i="2"/>
  <c r="D19" i="2"/>
  <c r="D10" i="2"/>
  <c r="D5" i="2"/>
  <c r="T19" i="2"/>
  <c r="T14" i="2"/>
  <c r="T16" i="2" s="1"/>
  <c r="T10" i="2"/>
  <c r="T5" i="2"/>
  <c r="T23" i="2" s="1"/>
  <c r="F19" i="2"/>
  <c r="F14" i="2"/>
  <c r="F10" i="2"/>
  <c r="F5" i="2"/>
  <c r="J19" i="2"/>
  <c r="J14" i="2"/>
  <c r="J10" i="2"/>
  <c r="J5" i="2"/>
  <c r="S19" i="2"/>
  <c r="S14" i="2"/>
  <c r="S16" i="2" s="1"/>
  <c r="S10" i="2"/>
  <c r="S5" i="2"/>
  <c r="S23" i="2" s="1"/>
  <c r="R19" i="2"/>
  <c r="Q19" i="2"/>
  <c r="R14" i="2"/>
  <c r="Q14" i="2"/>
  <c r="R10" i="2"/>
  <c r="Q10" i="2"/>
  <c r="R5" i="2"/>
  <c r="R23" i="2" s="1"/>
  <c r="Q5" i="2"/>
  <c r="Q23" i="2" s="1"/>
  <c r="T1" i="2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L19" i="2"/>
  <c r="L14" i="2"/>
  <c r="L10" i="2"/>
  <c r="L5" i="2"/>
  <c r="L11" i="2" s="1"/>
  <c r="H19" i="2"/>
  <c r="H14" i="2"/>
  <c r="H10" i="2"/>
  <c r="H5" i="2"/>
  <c r="M7" i="1"/>
  <c r="M13" i="1" s="1"/>
  <c r="P20" i="1"/>
  <c r="P19" i="1"/>
  <c r="M21" i="1"/>
  <c r="M23" i="1" s="1"/>
  <c r="M5" i="1"/>
  <c r="V3" i="2" l="1"/>
  <c r="W3" i="2" s="1"/>
  <c r="X3" i="2" s="1"/>
  <c r="M14" i="1"/>
  <c r="M8" i="1"/>
  <c r="M11" i="1"/>
  <c r="S20" i="2"/>
  <c r="S21" i="2" s="1"/>
  <c r="G11" i="2"/>
  <c r="G16" i="2" s="1"/>
  <c r="G20" i="2" s="1"/>
  <c r="Q11" i="2"/>
  <c r="Q16" i="2" s="1"/>
  <c r="Q20" i="2" s="1"/>
  <c r="Q21" i="2" s="1"/>
  <c r="O11" i="2"/>
  <c r="P11" i="2" s="1"/>
  <c r="P5" i="2"/>
  <c r="P23" i="2" s="1"/>
  <c r="K11" i="2"/>
  <c r="K16" i="2" s="1"/>
  <c r="K20" i="2" s="1"/>
  <c r="E20" i="2"/>
  <c r="D20" i="2"/>
  <c r="H11" i="2"/>
  <c r="H16" i="2" s="1"/>
  <c r="H20" i="2" s="1"/>
  <c r="I20" i="2"/>
  <c r="T20" i="2"/>
  <c r="T21" i="2" s="1"/>
  <c r="F16" i="2"/>
  <c r="F20" i="2" s="1"/>
  <c r="J11" i="2"/>
  <c r="J16" i="2" s="1"/>
  <c r="J20" i="2" s="1"/>
  <c r="R11" i="2"/>
  <c r="R16" i="2" s="1"/>
  <c r="R20" i="2" s="1"/>
  <c r="R21" i="2" s="1"/>
  <c r="L16" i="2"/>
  <c r="L20" i="2" s="1"/>
  <c r="M10" i="1" s="1"/>
  <c r="V5" i="2" l="1"/>
  <c r="V20" i="2" s="1"/>
  <c r="O16" i="2"/>
  <c r="W5" i="2" l="1"/>
  <c r="W20" i="2" s="1"/>
  <c r="O20" i="2"/>
  <c r="P20" i="2" s="1"/>
  <c r="P21" i="2" s="1"/>
  <c r="P16" i="2"/>
  <c r="Y3" i="2" l="1"/>
  <c r="X5" i="2"/>
  <c r="X20" i="2" s="1"/>
  <c r="Y5" i="2" l="1"/>
  <c r="Y20" i="2" s="1"/>
  <c r="Z3" i="2"/>
  <c r="AA3" i="2" l="1"/>
  <c r="Z5" i="2"/>
  <c r="Z20" i="2" s="1"/>
  <c r="AB3" i="2" l="1"/>
  <c r="AA5" i="2"/>
  <c r="AA20" i="2" s="1"/>
  <c r="AC3" i="2" l="1"/>
  <c r="AB5" i="2"/>
  <c r="AB20" i="2" s="1"/>
  <c r="AD3" i="2" l="1"/>
  <c r="AC5" i="2"/>
  <c r="AC20" i="2" s="1"/>
  <c r="AD5" i="2" l="1"/>
  <c r="AD20" i="2" s="1"/>
  <c r="AE3" i="2"/>
  <c r="AF3" i="2" l="1"/>
  <c r="AE5" i="2"/>
  <c r="AE20" i="2" s="1"/>
  <c r="AG3" i="2" l="1"/>
  <c r="AF5" i="2"/>
  <c r="AF20" i="2" s="1"/>
  <c r="AH3" i="2" l="1"/>
  <c r="AG5" i="2"/>
  <c r="AG20" i="2" s="1"/>
  <c r="AI3" i="2" l="1"/>
  <c r="AH5" i="2"/>
  <c r="AH20" i="2" s="1"/>
  <c r="AJ3" i="2" l="1"/>
  <c r="AI5" i="2"/>
  <c r="AI20" i="2" s="1"/>
  <c r="AJ5" i="2" l="1"/>
  <c r="AJ20" i="2" s="1"/>
  <c r="AK3" i="2"/>
  <c r="AK5" i="2" l="1"/>
  <c r="AK20" i="2" s="1"/>
  <c r="AL3" i="2"/>
  <c r="AM3" i="2" l="1"/>
  <c r="AL5" i="2"/>
  <c r="AL20" i="2" s="1"/>
  <c r="AN3" i="2" l="1"/>
  <c r="AM5" i="2"/>
  <c r="AM20" i="2" s="1"/>
  <c r="AO3" i="2" l="1"/>
  <c r="AN5" i="2"/>
  <c r="AN20" i="2" s="1"/>
  <c r="AP3" i="2" l="1"/>
  <c r="AO5" i="2"/>
  <c r="AO20" i="2" s="1"/>
  <c r="AP5" i="2" l="1"/>
  <c r="AP20" i="2" s="1"/>
  <c r="AQ3" i="2"/>
  <c r="AQ5" i="2" l="1"/>
  <c r="AQ20" i="2" s="1"/>
  <c r="AR3" i="2"/>
  <c r="AR5" i="2" l="1"/>
  <c r="AR20" i="2" s="1"/>
  <c r="AS3" i="2"/>
  <c r="AT3" i="2" l="1"/>
  <c r="AS5" i="2"/>
  <c r="AS20" i="2" s="1"/>
  <c r="AT5" i="2" l="1"/>
  <c r="AT20" i="2" s="1"/>
  <c r="AU3" i="2"/>
  <c r="AV3" i="2" l="1"/>
  <c r="AU5" i="2"/>
  <c r="AU20" i="2" s="1"/>
  <c r="AW3" i="2" l="1"/>
  <c r="AV5" i="2"/>
  <c r="AV20" i="2" s="1"/>
  <c r="AW5" i="2" l="1"/>
  <c r="AW20" i="2" s="1"/>
  <c r="AX3" i="2"/>
  <c r="AY3" i="2" l="1"/>
  <c r="AX5" i="2"/>
  <c r="AX20" i="2" s="1"/>
  <c r="AZ3" i="2" l="1"/>
  <c r="AY5" i="2"/>
  <c r="AY20" i="2" s="1"/>
  <c r="BA3" i="2" l="1"/>
  <c r="AZ5" i="2"/>
  <c r="AZ20" i="2" s="1"/>
  <c r="BB3" i="2" l="1"/>
  <c r="BA5" i="2"/>
  <c r="BA20" i="2" s="1"/>
  <c r="BC3" i="2" l="1"/>
  <c r="BB5" i="2"/>
  <c r="BB20" i="2" s="1"/>
  <c r="BD3" i="2" l="1"/>
  <c r="BC5" i="2"/>
  <c r="BC20" i="2" s="1"/>
  <c r="BE3" i="2" l="1"/>
  <c r="BD5" i="2"/>
  <c r="BD20" i="2" s="1"/>
  <c r="BF3" i="2" l="1"/>
  <c r="BE5" i="2"/>
  <c r="BE20" i="2" s="1"/>
  <c r="BG3" i="2" l="1"/>
  <c r="BF5" i="2"/>
  <c r="BF20" i="2" s="1"/>
  <c r="BH3" i="2" l="1"/>
  <c r="BG5" i="2"/>
  <c r="BG20" i="2" s="1"/>
  <c r="BI3" i="2" l="1"/>
  <c r="BH5" i="2"/>
  <c r="BH20" i="2" s="1"/>
  <c r="BJ3" i="2" l="1"/>
  <c r="BI5" i="2"/>
  <c r="BI20" i="2" s="1"/>
  <c r="BK3" i="2" l="1"/>
  <c r="BJ5" i="2"/>
  <c r="BJ20" i="2" s="1"/>
  <c r="BL3" i="2" l="1"/>
  <c r="BK5" i="2"/>
  <c r="BK20" i="2" s="1"/>
  <c r="BL5" i="2" l="1"/>
  <c r="BL20" i="2" s="1"/>
  <c r="BM3" i="2"/>
  <c r="BM5" i="2" l="1"/>
  <c r="BM20" i="2" s="1"/>
  <c r="BN3" i="2"/>
  <c r="BN5" i="2" l="1"/>
  <c r="BN20" i="2" s="1"/>
  <c r="BO3" i="2"/>
  <c r="BO5" i="2" l="1"/>
  <c r="BO20" i="2" s="1"/>
  <c r="BP3" i="2"/>
  <c r="BQ3" i="2" l="1"/>
  <c r="BP5" i="2"/>
  <c r="BP20" i="2" s="1"/>
  <c r="BR3" i="2" l="1"/>
  <c r="BQ5" i="2"/>
  <c r="BQ20" i="2" s="1"/>
  <c r="BS3" i="2" l="1"/>
  <c r="BR5" i="2"/>
  <c r="BR20" i="2" s="1"/>
  <c r="BS5" i="2" l="1"/>
  <c r="BS20" i="2" s="1"/>
  <c r="BT3" i="2"/>
  <c r="BU3" i="2" l="1"/>
  <c r="BT5" i="2"/>
  <c r="BT20" i="2" s="1"/>
  <c r="BV3" i="2" l="1"/>
  <c r="BV5" i="2" s="1"/>
  <c r="BV20" i="2" s="1"/>
  <c r="Z31" i="2" s="1"/>
  <c r="Z32" i="2" s="1"/>
  <c r="O3" i="1" s="1"/>
  <c r="S19" i="1" s="1"/>
  <c r="BU5" i="2"/>
  <c r="BU20" i="2" s="1"/>
</calcChain>
</file>

<file path=xl/sharedStrings.xml><?xml version="1.0" encoding="utf-8"?>
<sst xmlns="http://schemas.openxmlformats.org/spreadsheetml/2006/main" count="163" uniqueCount="139">
  <si>
    <t>Price</t>
  </si>
  <si>
    <t>Shares</t>
  </si>
  <si>
    <t>MC</t>
  </si>
  <si>
    <t>Cash</t>
  </si>
  <si>
    <t>Debt</t>
  </si>
  <si>
    <t>EV</t>
  </si>
  <si>
    <t>USD</t>
  </si>
  <si>
    <t>BRL</t>
  </si>
  <si>
    <t>USD/BRL</t>
  </si>
  <si>
    <t>implied USD/BRL</t>
  </si>
  <si>
    <t>implied # of shares</t>
  </si>
  <si>
    <t>spread between adr and main</t>
  </si>
  <si>
    <t>Q125</t>
  </si>
  <si>
    <t>main</t>
  </si>
  <si>
    <t>Revenue</t>
  </si>
  <si>
    <t>COGS</t>
  </si>
  <si>
    <t>Gross profit</t>
  </si>
  <si>
    <t>Selling expenses</t>
  </si>
  <si>
    <t>SG&amp;A</t>
  </si>
  <si>
    <t>Other income</t>
  </si>
  <si>
    <t>Other expenses</t>
  </si>
  <si>
    <t>Net operating expenses</t>
  </si>
  <si>
    <t>Operating Profit</t>
  </si>
  <si>
    <t>Q12024</t>
  </si>
  <si>
    <t>Q12025</t>
  </si>
  <si>
    <t>Finance income</t>
  </si>
  <si>
    <t>Finance expense</t>
  </si>
  <si>
    <t>Net finance expense</t>
  </si>
  <si>
    <t>Share of profit of equity-accounted investeesm net of tax</t>
  </si>
  <si>
    <t>Profit before tax</t>
  </si>
  <si>
    <t>Current income taxes</t>
  </si>
  <si>
    <t>Deferred income taxes</t>
  </si>
  <si>
    <t>Total income taxes</t>
  </si>
  <si>
    <t>Net income</t>
  </si>
  <si>
    <t>Q22024</t>
  </si>
  <si>
    <t>Q32024</t>
  </si>
  <si>
    <t>Q42024</t>
  </si>
  <si>
    <t>in mil USD</t>
  </si>
  <si>
    <t>price to earnings</t>
  </si>
  <si>
    <t>price to sales</t>
  </si>
  <si>
    <t>Q32023</t>
  </si>
  <si>
    <t>Q22023</t>
  </si>
  <si>
    <t>Q42023</t>
  </si>
  <si>
    <t>Q12023</t>
  </si>
  <si>
    <t>revenue y/y</t>
  </si>
  <si>
    <t xml:space="preserve">gross margin </t>
  </si>
  <si>
    <t>2020 BRL</t>
  </si>
  <si>
    <t>financial statements get pretty anoying before 2021</t>
  </si>
  <si>
    <t>everything is in BRL from there, make sure to make correct</t>
  </si>
  <si>
    <t>conversions</t>
  </si>
  <si>
    <t>2020 USD</t>
  </si>
  <si>
    <t>BRL/USD</t>
  </si>
  <si>
    <t>do balance sheet</t>
  </si>
  <si>
    <t>CFFO</t>
  </si>
  <si>
    <t>CAPEX</t>
  </si>
  <si>
    <t>FCF</t>
  </si>
  <si>
    <t>Assets</t>
  </si>
  <si>
    <t>Current Assets</t>
  </si>
  <si>
    <t>Cash and Cash Equivalents</t>
  </si>
  <si>
    <t xml:space="preserve">Margin cash </t>
  </si>
  <si>
    <t>Trade accounts receivable</t>
  </si>
  <si>
    <t>Inventories</t>
  </si>
  <si>
    <t>Biological assets</t>
  </si>
  <si>
    <t>Recoverable taxes</t>
  </si>
  <si>
    <t>Derivative assets</t>
  </si>
  <si>
    <t>Other current assets</t>
  </si>
  <si>
    <t>Total current assets</t>
  </si>
  <si>
    <t>Non-current assets</t>
  </si>
  <si>
    <t>Related party receivables</t>
  </si>
  <si>
    <t>Other non-current assets</t>
  </si>
  <si>
    <t>Investments in equity-accounted investees</t>
  </si>
  <si>
    <t>PP&amp;E</t>
  </si>
  <si>
    <t>Right of use assets</t>
  </si>
  <si>
    <t>Intangible assets</t>
  </si>
  <si>
    <t>Goodwill</t>
  </si>
  <si>
    <t>Total non-current assets</t>
  </si>
  <si>
    <t>Total assets</t>
  </si>
  <si>
    <t>Liabilities and Equity</t>
  </si>
  <si>
    <t>Current liabilities</t>
  </si>
  <si>
    <t>Trade accounts payable</t>
  </si>
  <si>
    <t>Supply chain finance</t>
  </si>
  <si>
    <t>Loans and financing</t>
  </si>
  <si>
    <t>Income taxes</t>
  </si>
  <si>
    <t>Other taxes payable</t>
  </si>
  <si>
    <t>Payroll and social charges</t>
  </si>
  <si>
    <t>Lease liabilities</t>
  </si>
  <si>
    <t>Dividends payable</t>
  </si>
  <si>
    <t>Provisions for legal proceedings</t>
  </si>
  <si>
    <t>Derivative liabilities</t>
  </si>
  <si>
    <t>Other current liabilities</t>
  </si>
  <si>
    <t>Non-current liabilities</t>
  </si>
  <si>
    <t>Inome and other taxes payable</t>
  </si>
  <si>
    <t>Other non-current liabilities</t>
  </si>
  <si>
    <t>Equity</t>
  </si>
  <si>
    <t>Share capital - common stock</t>
  </si>
  <si>
    <t>Capital reserve</t>
  </si>
  <si>
    <t>Other reserves</t>
  </si>
  <si>
    <t>Profit reserves</t>
  </si>
  <si>
    <t>Accumualted other comprehensive loss</t>
  </si>
  <si>
    <t>Attributable to company shareholders</t>
  </si>
  <si>
    <t>Attributable to non-controling interest</t>
  </si>
  <si>
    <t>Total equity</t>
  </si>
  <si>
    <t>Total liabilities and equity</t>
  </si>
  <si>
    <t>debt to assets</t>
  </si>
  <si>
    <t>debt to cash</t>
  </si>
  <si>
    <t>price to fcf</t>
  </si>
  <si>
    <t>HQ - Sao Paulo, Brazil</t>
  </si>
  <si>
    <t>Controlled by J&amp;F Investimentos.</t>
  </si>
  <si>
    <t>Activities</t>
  </si>
  <si>
    <t>Beef processing, Leather production and commerzialization</t>
  </si>
  <si>
    <t>Steel cans, plastic resin, soap, industrial waste management</t>
  </si>
  <si>
    <t>Commodities production/trading, energy, transportation services</t>
  </si>
  <si>
    <t>Breazil:</t>
  </si>
  <si>
    <t>Distribution centers and harbors</t>
  </si>
  <si>
    <t>Outside brazil:</t>
  </si>
  <si>
    <t>Trading, beef, chicken and pork processing, fish processing\</t>
  </si>
  <si>
    <t>Several resent acquisitions. One of them shows entrance into the egg industry</t>
  </si>
  <si>
    <t>JBS tranfers account receivables to Banco Original, which is owned by the same parent</t>
  </si>
  <si>
    <t>It does not bear the risk of accounts receivable and gets cash in return</t>
  </si>
  <si>
    <t>Raises questions regarding transfer pricing issues</t>
  </si>
  <si>
    <t>Net revenue</t>
  </si>
  <si>
    <t>North and Central America</t>
  </si>
  <si>
    <t xml:space="preserve">South america </t>
  </si>
  <si>
    <t xml:space="preserve">Australia </t>
  </si>
  <si>
    <t>Intercompany elim</t>
  </si>
  <si>
    <t>Total</t>
  </si>
  <si>
    <t>Europe</t>
  </si>
  <si>
    <t>Others</t>
  </si>
  <si>
    <t>%</t>
  </si>
  <si>
    <t>terminal</t>
  </si>
  <si>
    <t>ROIC</t>
  </si>
  <si>
    <t>NPV</t>
  </si>
  <si>
    <t>Share</t>
  </si>
  <si>
    <t>discount</t>
  </si>
  <si>
    <t>demand is great, good is easy to substitute but we are talking about the leader in the space</t>
  </si>
  <si>
    <t>none</t>
  </si>
  <si>
    <t>ni margin</t>
  </si>
  <si>
    <t>direct listing in the US incoming, definitely good</t>
  </si>
  <si>
    <t>price to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</si>
</sst>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%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4" fontId="0" fillId="0" borderId="0" xfId="0" applyNumberFormat="1"/>
    <xf numFmtId="0" fontId="1" fillId="0" borderId="0" xfId="1"/>
    <xf numFmtId="10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odels\TSN.xlsx" TargetMode="External"/><Relationship Id="rId1" Type="http://schemas.openxmlformats.org/officeDocument/2006/relationships/externalLinkPath" Target="/models/TS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</sheetNames>
    <sheetDataSet>
      <sheetData sheetId="0"/>
      <sheetData sheetId="1">
        <row r="22">
          <cell r="F22">
            <v>37100</v>
          </cell>
        </row>
        <row r="26">
          <cell r="F26">
            <v>9751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45"/>
  <sheetViews>
    <sheetView topLeftCell="H1" workbookViewId="0">
      <selection activeCell="O20" sqref="O20"/>
    </sheetView>
  </sheetViews>
  <sheetFormatPr defaultRowHeight="14.5" x14ac:dyDescent="0.35"/>
  <cols>
    <col min="2" max="2" width="28.453125" bestFit="1" customWidth="1"/>
    <col min="3" max="3" width="31.81640625" customWidth="1"/>
    <col min="12" max="12" width="26.1796875" bestFit="1" customWidth="1"/>
  </cols>
  <sheetData>
    <row r="3" spans="2:18" x14ac:dyDescent="0.35">
      <c r="B3" t="s">
        <v>106</v>
      </c>
      <c r="L3" t="s">
        <v>0</v>
      </c>
      <c r="M3">
        <v>13.75</v>
      </c>
      <c r="N3" t="s">
        <v>6</v>
      </c>
      <c r="O3" s="3">
        <f>model!Z32/main!M3-1</f>
        <v>0.89351502664626037</v>
      </c>
      <c r="Q3">
        <v>38.86</v>
      </c>
      <c r="R3" t="s">
        <v>7</v>
      </c>
    </row>
    <row r="4" spans="2:18" x14ac:dyDescent="0.35">
      <c r="B4" t="s">
        <v>107</v>
      </c>
      <c r="L4" t="s">
        <v>1</v>
      </c>
      <c r="M4">
        <v>2218</v>
      </c>
    </row>
    <row r="5" spans="2:18" x14ac:dyDescent="0.35">
      <c r="L5" t="s">
        <v>2</v>
      </c>
      <c r="M5" s="1">
        <f>M3*M4</f>
        <v>30497.5</v>
      </c>
      <c r="N5" t="s">
        <v>6</v>
      </c>
    </row>
    <row r="6" spans="2:18" x14ac:dyDescent="0.35">
      <c r="B6" t="s">
        <v>137</v>
      </c>
      <c r="L6" t="s">
        <v>3</v>
      </c>
      <c r="M6" s="1">
        <v>4826</v>
      </c>
      <c r="N6" t="s">
        <v>6</v>
      </c>
      <c r="O6" t="s">
        <v>12</v>
      </c>
    </row>
    <row r="7" spans="2:18" x14ac:dyDescent="0.35">
      <c r="L7" t="s">
        <v>4</v>
      </c>
      <c r="M7" s="1">
        <f>795+347+19130+1398</f>
        <v>21670</v>
      </c>
      <c r="N7" t="s">
        <v>6</v>
      </c>
      <c r="O7" t="s">
        <v>12</v>
      </c>
    </row>
    <row r="8" spans="2:18" x14ac:dyDescent="0.35">
      <c r="L8" t="s">
        <v>5</v>
      </c>
      <c r="M8" s="1">
        <f>M5+M7-M6</f>
        <v>47341.5</v>
      </c>
      <c r="N8" t="s">
        <v>6</v>
      </c>
      <c r="O8" t="s">
        <v>12</v>
      </c>
    </row>
    <row r="10" spans="2:18" x14ac:dyDescent="0.35">
      <c r="L10" t="s">
        <v>38</v>
      </c>
      <c r="M10">
        <f>M5/(model!L20*4)</f>
        <v>13.688285457809695</v>
      </c>
    </row>
    <row r="11" spans="2:18" x14ac:dyDescent="0.35">
      <c r="L11" t="s">
        <v>39</v>
      </c>
      <c r="M11">
        <f>M5/model!L3</f>
        <v>1.5618118502586162</v>
      </c>
    </row>
    <row r="12" spans="2:18" x14ac:dyDescent="0.35">
      <c r="L12" t="s">
        <v>103</v>
      </c>
      <c r="M12" t="e">
        <f>M7/model!K59</f>
        <v>#DIV/0!</v>
      </c>
    </row>
    <row r="13" spans="2:18" x14ac:dyDescent="0.35">
      <c r="C13" t="s">
        <v>121</v>
      </c>
      <c r="D13" t="s">
        <v>122</v>
      </c>
      <c r="E13" t="s">
        <v>123</v>
      </c>
      <c r="F13" t="s">
        <v>126</v>
      </c>
      <c r="G13" t="s">
        <v>127</v>
      </c>
      <c r="H13" t="s">
        <v>124</v>
      </c>
      <c r="I13" t="s">
        <v>125</v>
      </c>
      <c r="L13" t="s">
        <v>104</v>
      </c>
      <c r="M13">
        <f>M7/M6</f>
        <v>4.4902610857853293</v>
      </c>
    </row>
    <row r="14" spans="2:18" x14ac:dyDescent="0.35">
      <c r="B14" t="s">
        <v>120</v>
      </c>
      <c r="C14" s="1">
        <v>45104</v>
      </c>
      <c r="D14" s="1">
        <v>21658</v>
      </c>
      <c r="E14" s="1">
        <v>6106</v>
      </c>
      <c r="F14" s="1">
        <v>5999</v>
      </c>
      <c r="G14" s="1">
        <v>376</v>
      </c>
      <c r="H14" s="1">
        <v>-2061</v>
      </c>
      <c r="I14" s="1">
        <f>SUM(C14:H14)</f>
        <v>77182</v>
      </c>
      <c r="L14" t="s">
        <v>105</v>
      </c>
      <c r="M14">
        <f>M5/model!T31</f>
        <v>11.134538152610443</v>
      </c>
    </row>
    <row r="15" spans="2:18" x14ac:dyDescent="0.35">
      <c r="B15" t="s">
        <v>76</v>
      </c>
      <c r="C15" s="1">
        <v>18455</v>
      </c>
      <c r="D15" s="1">
        <v>13927</v>
      </c>
      <c r="E15" s="1">
        <v>4827</v>
      </c>
      <c r="F15" s="1">
        <v>5003</v>
      </c>
      <c r="G15" s="1">
        <v>309</v>
      </c>
      <c r="H15" s="1">
        <v>-1869</v>
      </c>
      <c r="I15" s="1">
        <f>SUM(C15:H15)</f>
        <v>40652</v>
      </c>
      <c r="L15" t="s">
        <v>138</v>
      </c>
      <c r="M15">
        <f>M5/model!S59</f>
        <v>0.71627366245478885</v>
      </c>
    </row>
    <row r="16" spans="2:18" x14ac:dyDescent="0.35">
      <c r="B16" t="s">
        <v>128</v>
      </c>
      <c r="C16" s="5">
        <f>C14/$I$14</f>
        <v>0.58438496022388642</v>
      </c>
      <c r="D16" s="5">
        <f>D14/$I$14</f>
        <v>0.28060946852893159</v>
      </c>
      <c r="E16" s="5">
        <f>E14/$I$14</f>
        <v>7.9111709984193201E-2</v>
      </c>
      <c r="F16" s="5">
        <f>F14/$I$14</f>
        <v>7.7725376383094499E-2</v>
      </c>
      <c r="G16" s="5">
        <f>G14/$I$14</f>
        <v>4.8716021870384291E-3</v>
      </c>
    </row>
    <row r="18" spans="2:19" x14ac:dyDescent="0.35">
      <c r="O18" t="s">
        <v>0</v>
      </c>
      <c r="P18" t="s">
        <v>10</v>
      </c>
      <c r="R18" t="s">
        <v>8</v>
      </c>
      <c r="S18">
        <v>5.7</v>
      </c>
    </row>
    <row r="19" spans="2:19" x14ac:dyDescent="0.35">
      <c r="L19" t="s">
        <v>2</v>
      </c>
      <c r="M19">
        <v>86.91</v>
      </c>
      <c r="N19" t="s">
        <v>7</v>
      </c>
      <c r="O19">
        <v>38.799999999999997</v>
      </c>
      <c r="P19">
        <f>M19/O19</f>
        <v>2.2399484536082475</v>
      </c>
      <c r="R19" t="s">
        <v>9</v>
      </c>
      <c r="S19">
        <f>O3/M3</f>
        <v>6.4982911028818938E-2</v>
      </c>
    </row>
    <row r="20" spans="2:19" x14ac:dyDescent="0.35">
      <c r="L20" t="s">
        <v>2</v>
      </c>
      <c r="M20">
        <v>14.8</v>
      </c>
      <c r="N20" t="s">
        <v>6</v>
      </c>
      <c r="O20">
        <v>13.78</v>
      </c>
      <c r="P20">
        <f>M20/O20</f>
        <v>1.0740203193033382</v>
      </c>
    </row>
    <row r="21" spans="2:19" x14ac:dyDescent="0.35">
      <c r="L21" t="s">
        <v>9</v>
      </c>
      <c r="M21">
        <f>M19/M20</f>
        <v>5.8722972972972967</v>
      </c>
    </row>
    <row r="23" spans="2:19" x14ac:dyDescent="0.35">
      <c r="L23" t="s">
        <v>11</v>
      </c>
      <c r="M23">
        <f>M21-S18</f>
        <v>0.17229729729729648</v>
      </c>
    </row>
    <row r="27" spans="2:19" x14ac:dyDescent="0.35">
      <c r="B27" t="s">
        <v>108</v>
      </c>
    </row>
    <row r="28" spans="2:19" x14ac:dyDescent="0.35">
      <c r="B28" t="s">
        <v>112</v>
      </c>
      <c r="C28" t="s">
        <v>109</v>
      </c>
    </row>
    <row r="29" spans="2:19" x14ac:dyDescent="0.35">
      <c r="C29" t="s">
        <v>110</v>
      </c>
    </row>
    <row r="30" spans="2:19" x14ac:dyDescent="0.35">
      <c r="C30" t="s">
        <v>111</v>
      </c>
    </row>
    <row r="31" spans="2:19" x14ac:dyDescent="0.35">
      <c r="C31" t="s">
        <v>113</v>
      </c>
    </row>
    <row r="32" spans="2:19" x14ac:dyDescent="0.35">
      <c r="B32" t="s">
        <v>114</v>
      </c>
      <c r="C32" t="s">
        <v>115</v>
      </c>
    </row>
    <row r="35" spans="2:2" x14ac:dyDescent="0.35">
      <c r="B35" t="s">
        <v>116</v>
      </c>
    </row>
    <row r="37" spans="2:2" x14ac:dyDescent="0.35">
      <c r="B37" t="s">
        <v>117</v>
      </c>
    </row>
    <row r="38" spans="2:2" x14ac:dyDescent="0.35">
      <c r="B38" t="s">
        <v>118</v>
      </c>
    </row>
    <row r="39" spans="2:2" x14ac:dyDescent="0.35">
      <c r="B39" t="s">
        <v>119</v>
      </c>
    </row>
    <row r="43" spans="2:2" x14ac:dyDescent="0.35">
      <c r="B43" t="s">
        <v>47</v>
      </c>
    </row>
    <row r="44" spans="2:2" x14ac:dyDescent="0.35">
      <c r="B44" t="s">
        <v>48</v>
      </c>
    </row>
    <row r="45" spans="2:2" x14ac:dyDescent="0.35">
      <c r="B4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D797-D9F2-445F-A566-145DABB08415}">
  <dimension ref="A1:BV90"/>
  <sheetViews>
    <sheetView tabSelected="1" zoomScale="115" zoomScaleNormal="115" workbookViewId="0">
      <pane xSplit="2" ySplit="1" topLeftCell="Q20" activePane="bottomRight" state="frozen"/>
      <selection pane="topRight" activeCell="C1" sqref="C1"/>
      <selection pane="bottomLeft" activeCell="A2" sqref="A2"/>
      <selection pane="bottomRight" activeCell="T61" sqref="T61"/>
    </sheetView>
  </sheetViews>
  <sheetFormatPr defaultRowHeight="14.5" x14ac:dyDescent="0.35"/>
  <cols>
    <col min="1" max="1" width="6.26953125" customWidth="1"/>
    <col min="2" max="2" width="48.90625" bestFit="1" customWidth="1"/>
    <col min="3" max="3" width="20.54296875" customWidth="1"/>
    <col min="4" max="8" width="9.453125" bestFit="1" customWidth="1"/>
    <col min="9" max="11" width="9.453125" customWidth="1"/>
    <col min="12" max="12" width="9.453125" bestFit="1" customWidth="1"/>
    <col min="13" max="14" width="9.453125" customWidth="1"/>
    <col min="15" max="15" width="14.1796875" bestFit="1" customWidth="1"/>
    <col min="16" max="16" width="10.453125" bestFit="1" customWidth="1"/>
    <col min="17" max="17" width="9.81640625" bestFit="1" customWidth="1"/>
    <col min="18" max="20" width="9.453125" bestFit="1" customWidth="1"/>
    <col min="21" max="25" width="9" bestFit="1" customWidth="1"/>
    <col min="26" max="26" width="10.7265625" bestFit="1" customWidth="1"/>
  </cols>
  <sheetData>
    <row r="1" spans="1:74" x14ac:dyDescent="0.35">
      <c r="A1" s="2" t="s">
        <v>13</v>
      </c>
      <c r="B1" t="s">
        <v>37</v>
      </c>
      <c r="D1" t="s">
        <v>43</v>
      </c>
      <c r="E1" t="s">
        <v>41</v>
      </c>
      <c r="F1" t="s">
        <v>40</v>
      </c>
      <c r="G1" t="s">
        <v>42</v>
      </c>
      <c r="H1" t="s">
        <v>23</v>
      </c>
      <c r="I1" t="s">
        <v>34</v>
      </c>
      <c r="J1" t="s">
        <v>35</v>
      </c>
      <c r="K1" t="s">
        <v>36</v>
      </c>
      <c r="L1" t="s">
        <v>24</v>
      </c>
      <c r="O1" t="s">
        <v>46</v>
      </c>
      <c r="P1" t="s">
        <v>50</v>
      </c>
      <c r="Q1">
        <v>2021</v>
      </c>
      <c r="R1">
        <v>2022</v>
      </c>
      <c r="S1">
        <v>2023</v>
      </c>
      <c r="T1">
        <f>S1+1</f>
        <v>2024</v>
      </c>
      <c r="U1">
        <f>T1+1</f>
        <v>2025</v>
      </c>
      <c r="V1">
        <f>U1+1</f>
        <v>2026</v>
      </c>
      <c r="W1">
        <f t="shared" ref="W1:BV1" si="0">V1+1</f>
        <v>2027</v>
      </c>
      <c r="X1">
        <f t="shared" si="0"/>
        <v>2028</v>
      </c>
      <c r="Y1">
        <f t="shared" si="0"/>
        <v>2029</v>
      </c>
      <c r="Z1">
        <f t="shared" si="0"/>
        <v>2030</v>
      </c>
      <c r="AA1">
        <f t="shared" si="0"/>
        <v>2031</v>
      </c>
      <c r="AB1">
        <f t="shared" si="0"/>
        <v>2032</v>
      </c>
      <c r="AC1">
        <f t="shared" si="0"/>
        <v>2033</v>
      </c>
      <c r="AD1">
        <f t="shared" si="0"/>
        <v>2034</v>
      </c>
      <c r="AE1">
        <f t="shared" si="0"/>
        <v>2035</v>
      </c>
      <c r="AF1">
        <f t="shared" si="0"/>
        <v>2036</v>
      </c>
      <c r="AG1">
        <f t="shared" si="0"/>
        <v>2037</v>
      </c>
      <c r="AH1">
        <f t="shared" si="0"/>
        <v>2038</v>
      </c>
      <c r="AI1">
        <f t="shared" si="0"/>
        <v>2039</v>
      </c>
      <c r="AJ1">
        <f t="shared" si="0"/>
        <v>2040</v>
      </c>
      <c r="AK1">
        <f t="shared" si="0"/>
        <v>2041</v>
      </c>
      <c r="AL1">
        <f t="shared" si="0"/>
        <v>2042</v>
      </c>
      <c r="AM1">
        <f t="shared" si="0"/>
        <v>2043</v>
      </c>
      <c r="AN1">
        <f t="shared" si="0"/>
        <v>2044</v>
      </c>
      <c r="AO1">
        <f t="shared" si="0"/>
        <v>2045</v>
      </c>
      <c r="AP1">
        <f t="shared" si="0"/>
        <v>2046</v>
      </c>
      <c r="AQ1">
        <f t="shared" si="0"/>
        <v>2047</v>
      </c>
      <c r="AR1">
        <f t="shared" si="0"/>
        <v>2048</v>
      </c>
      <c r="AS1">
        <f t="shared" si="0"/>
        <v>2049</v>
      </c>
      <c r="AT1">
        <f t="shared" si="0"/>
        <v>2050</v>
      </c>
      <c r="AU1">
        <f t="shared" si="0"/>
        <v>2051</v>
      </c>
      <c r="AV1">
        <f t="shared" si="0"/>
        <v>2052</v>
      </c>
      <c r="AW1">
        <f t="shared" si="0"/>
        <v>2053</v>
      </c>
      <c r="AX1">
        <f t="shared" si="0"/>
        <v>2054</v>
      </c>
      <c r="AY1">
        <f t="shared" si="0"/>
        <v>2055</v>
      </c>
      <c r="AZ1">
        <f t="shared" si="0"/>
        <v>2056</v>
      </c>
      <c r="BA1">
        <f t="shared" si="0"/>
        <v>2057</v>
      </c>
      <c r="BB1">
        <f t="shared" si="0"/>
        <v>2058</v>
      </c>
      <c r="BC1">
        <f t="shared" si="0"/>
        <v>2059</v>
      </c>
      <c r="BD1">
        <f t="shared" si="0"/>
        <v>2060</v>
      </c>
      <c r="BE1">
        <f t="shared" si="0"/>
        <v>2061</v>
      </c>
      <c r="BF1">
        <f t="shared" si="0"/>
        <v>2062</v>
      </c>
      <c r="BG1">
        <f t="shared" si="0"/>
        <v>2063</v>
      </c>
      <c r="BH1">
        <f t="shared" si="0"/>
        <v>2064</v>
      </c>
      <c r="BI1">
        <f t="shared" si="0"/>
        <v>2065</v>
      </c>
      <c r="BJ1">
        <f t="shared" si="0"/>
        <v>2066</v>
      </c>
      <c r="BK1">
        <f t="shared" si="0"/>
        <v>2067</v>
      </c>
      <c r="BL1">
        <f t="shared" si="0"/>
        <v>2068</v>
      </c>
      <c r="BM1">
        <f t="shared" si="0"/>
        <v>2069</v>
      </c>
      <c r="BN1">
        <f t="shared" si="0"/>
        <v>2070</v>
      </c>
      <c r="BO1">
        <f t="shared" si="0"/>
        <v>2071</v>
      </c>
      <c r="BP1">
        <f t="shared" si="0"/>
        <v>2072</v>
      </c>
      <c r="BQ1">
        <f t="shared" si="0"/>
        <v>2073</v>
      </c>
      <c r="BR1">
        <f t="shared" si="0"/>
        <v>2074</v>
      </c>
      <c r="BS1">
        <f t="shared" si="0"/>
        <v>2075</v>
      </c>
      <c r="BT1">
        <f t="shared" si="0"/>
        <v>2076</v>
      </c>
      <c r="BU1">
        <f t="shared" si="0"/>
        <v>2077</v>
      </c>
      <c r="BV1">
        <f t="shared" si="0"/>
        <v>2078</v>
      </c>
    </row>
    <row r="3" spans="1:74" x14ac:dyDescent="0.35">
      <c r="B3" t="s">
        <v>14</v>
      </c>
      <c r="D3" s="1">
        <v>16687</v>
      </c>
      <c r="E3" s="1">
        <v>18052</v>
      </c>
      <c r="F3" s="1">
        <v>18730</v>
      </c>
      <c r="G3" s="1">
        <v>19449</v>
      </c>
      <c r="H3" s="1">
        <v>17999</v>
      </c>
      <c r="I3" s="1">
        <v>19284</v>
      </c>
      <c r="J3" s="1">
        <v>19926</v>
      </c>
      <c r="K3" s="1">
        <v>19974</v>
      </c>
      <c r="L3" s="1">
        <v>19527</v>
      </c>
      <c r="M3" s="1"/>
      <c r="N3" s="1"/>
      <c r="O3" s="1">
        <v>270204</v>
      </c>
      <c r="P3" s="1">
        <f t="shared" ref="P3:P20" si="1">O3/$P$25</f>
        <v>48501.014162373678</v>
      </c>
      <c r="Q3" s="1">
        <v>65043</v>
      </c>
      <c r="R3" s="1">
        <v>72619</v>
      </c>
      <c r="S3" s="1">
        <v>72918</v>
      </c>
      <c r="T3" s="1">
        <v>77183</v>
      </c>
      <c r="U3" s="1">
        <f>T3*1.05</f>
        <v>81042.150000000009</v>
      </c>
      <c r="V3" s="1">
        <f t="shared" ref="V3:X3" si="2">U3*1.05</f>
        <v>85094.257500000007</v>
      </c>
      <c r="W3" s="1">
        <f t="shared" si="2"/>
        <v>89348.970375000004</v>
      </c>
      <c r="X3" s="1">
        <f t="shared" si="2"/>
        <v>93816.418893750015</v>
      </c>
      <c r="Y3" s="1">
        <f t="shared" ref="Y3" si="3">X3*1.02</f>
        <v>95692.747271625019</v>
      </c>
      <c r="Z3" s="1">
        <f t="shared" ref="Z3" si="4">Y3*1.02</f>
        <v>97606.602217057516</v>
      </c>
      <c r="AA3" s="1">
        <f t="shared" ref="AA3" si="5">Z3*1.02</f>
        <v>99558.734261398669</v>
      </c>
      <c r="AB3" s="1">
        <f t="shared" ref="AB3:BV3" si="6">AA3*1.02</f>
        <v>101549.90894662665</v>
      </c>
      <c r="AC3" s="1">
        <f t="shared" si="6"/>
        <v>103580.90712555918</v>
      </c>
      <c r="AD3" s="1">
        <f t="shared" si="6"/>
        <v>105652.52526807037</v>
      </c>
      <c r="AE3" s="1">
        <f t="shared" si="6"/>
        <v>107765.57577343177</v>
      </c>
      <c r="AF3" s="1">
        <f t="shared" si="6"/>
        <v>109920.88728890041</v>
      </c>
      <c r="AG3" s="1">
        <f t="shared" si="6"/>
        <v>112119.30503467843</v>
      </c>
      <c r="AH3" s="1">
        <f t="shared" si="6"/>
        <v>114361.69113537201</v>
      </c>
      <c r="AI3" s="1">
        <f t="shared" si="6"/>
        <v>116648.92495807944</v>
      </c>
      <c r="AJ3" s="1">
        <f t="shared" si="6"/>
        <v>118981.90345724103</v>
      </c>
      <c r="AK3" s="1">
        <f t="shared" si="6"/>
        <v>121361.54152638586</v>
      </c>
      <c r="AL3" s="1">
        <f t="shared" si="6"/>
        <v>123788.77235691359</v>
      </c>
      <c r="AM3" s="1">
        <f t="shared" si="6"/>
        <v>126264.54780405186</v>
      </c>
      <c r="AN3" s="1">
        <f t="shared" si="6"/>
        <v>128789.8387601329</v>
      </c>
      <c r="AO3" s="1">
        <f t="shared" si="6"/>
        <v>131365.63553533558</v>
      </c>
      <c r="AP3" s="1">
        <f t="shared" si="6"/>
        <v>133992.9482460423</v>
      </c>
      <c r="AQ3" s="1">
        <f t="shared" si="6"/>
        <v>136672.80721096316</v>
      </c>
      <c r="AR3" s="1">
        <f t="shared" si="6"/>
        <v>139406.26335518243</v>
      </c>
      <c r="AS3" s="1">
        <f t="shared" si="6"/>
        <v>142194.38862228609</v>
      </c>
      <c r="AT3" s="1">
        <f t="shared" si="6"/>
        <v>145038.2763947318</v>
      </c>
      <c r="AU3" s="1">
        <f t="shared" si="6"/>
        <v>147939.04192262643</v>
      </c>
      <c r="AV3" s="1">
        <f t="shared" si="6"/>
        <v>150897.82276107898</v>
      </c>
      <c r="AW3" s="1">
        <f t="shared" si="6"/>
        <v>153915.77921630055</v>
      </c>
      <c r="AX3" s="1">
        <f t="shared" si="6"/>
        <v>156994.09480062657</v>
      </c>
      <c r="AY3" s="1">
        <f t="shared" si="6"/>
        <v>160133.97669663909</v>
      </c>
      <c r="AZ3" s="1">
        <f t="shared" si="6"/>
        <v>163336.65623057188</v>
      </c>
      <c r="BA3" s="1">
        <f t="shared" si="6"/>
        <v>166603.38935518332</v>
      </c>
      <c r="BB3" s="1">
        <f t="shared" si="6"/>
        <v>169935.45714228699</v>
      </c>
      <c r="BC3" s="1">
        <f t="shared" si="6"/>
        <v>173334.16628513273</v>
      </c>
      <c r="BD3" s="1">
        <f t="shared" si="6"/>
        <v>176800.84961083537</v>
      </c>
      <c r="BE3" s="1">
        <f t="shared" si="6"/>
        <v>180336.86660305207</v>
      </c>
      <c r="BF3" s="1">
        <f t="shared" si="6"/>
        <v>183943.60393511312</v>
      </c>
      <c r="BG3" s="1">
        <f t="shared" si="6"/>
        <v>187622.47601381538</v>
      </c>
      <c r="BH3" s="1">
        <f t="shared" si="6"/>
        <v>191374.92553409169</v>
      </c>
      <c r="BI3" s="1">
        <f t="shared" si="6"/>
        <v>195202.42404477354</v>
      </c>
      <c r="BJ3" s="1">
        <f t="shared" si="6"/>
        <v>199106.472525669</v>
      </c>
      <c r="BK3" s="1">
        <f t="shared" si="6"/>
        <v>203088.60197618237</v>
      </c>
      <c r="BL3" s="1">
        <f t="shared" si="6"/>
        <v>207150.37401570601</v>
      </c>
      <c r="BM3" s="1">
        <f t="shared" si="6"/>
        <v>211293.38149602013</v>
      </c>
      <c r="BN3" s="1">
        <f t="shared" si="6"/>
        <v>215519.24912594052</v>
      </c>
      <c r="BO3" s="1">
        <f t="shared" si="6"/>
        <v>219829.63410845934</v>
      </c>
      <c r="BP3" s="1">
        <f t="shared" si="6"/>
        <v>224226.22679062854</v>
      </c>
      <c r="BQ3" s="1">
        <f t="shared" si="6"/>
        <v>228710.75132644112</v>
      </c>
      <c r="BR3" s="1">
        <f t="shared" si="6"/>
        <v>233284.96635296996</v>
      </c>
      <c r="BS3" s="1">
        <f t="shared" si="6"/>
        <v>237950.66568002937</v>
      </c>
      <c r="BT3" s="1">
        <f t="shared" si="6"/>
        <v>242709.67899362996</v>
      </c>
      <c r="BU3" s="1">
        <f t="shared" si="6"/>
        <v>247563.87257350257</v>
      </c>
      <c r="BV3" s="1">
        <f t="shared" si="6"/>
        <v>252515.15002497262</v>
      </c>
    </row>
    <row r="4" spans="1:74" x14ac:dyDescent="0.35">
      <c r="B4" t="s">
        <v>15</v>
      </c>
      <c r="D4" s="1">
        <v>-15221</v>
      </c>
      <c r="E4" s="1">
        <v>-16056</v>
      </c>
      <c r="F4" s="1">
        <v>-16465</v>
      </c>
      <c r="G4" s="1">
        <v>-17179</v>
      </c>
      <c r="H4" s="1">
        <v>-15640</v>
      </c>
      <c r="I4" s="1">
        <v>-16311</v>
      </c>
      <c r="J4" s="1">
        <v>-16646</v>
      </c>
      <c r="K4" s="1">
        <v>-16997</v>
      </c>
      <c r="L4" s="1">
        <v>-16902</v>
      </c>
      <c r="M4" s="1"/>
      <c r="N4" s="1"/>
      <c r="O4" s="1">
        <v>-224986</v>
      </c>
      <c r="P4" s="1">
        <f t="shared" si="1"/>
        <v>-40384.484213171541</v>
      </c>
      <c r="Q4" s="1">
        <v>-52753</v>
      </c>
      <c r="R4" s="1">
        <v>-61070</v>
      </c>
      <c r="S4" s="1">
        <v>-64921</v>
      </c>
      <c r="T4" s="1">
        <v>-65594</v>
      </c>
      <c r="U4" s="1"/>
    </row>
    <row r="5" spans="1:74" x14ac:dyDescent="0.35">
      <c r="B5" t="s">
        <v>16</v>
      </c>
      <c r="D5" s="1">
        <f t="shared" ref="D5:L5" si="7">SUM(D3:D4)</f>
        <v>1466</v>
      </c>
      <c r="E5" s="1">
        <f t="shared" si="7"/>
        <v>1996</v>
      </c>
      <c r="F5" s="1">
        <f t="shared" si="7"/>
        <v>2265</v>
      </c>
      <c r="G5" s="1">
        <f t="shared" si="7"/>
        <v>2270</v>
      </c>
      <c r="H5" s="1">
        <f t="shared" si="7"/>
        <v>2359</v>
      </c>
      <c r="I5" s="1">
        <f t="shared" si="7"/>
        <v>2973</v>
      </c>
      <c r="J5" s="1">
        <f t="shared" si="7"/>
        <v>3280</v>
      </c>
      <c r="K5" s="1">
        <f t="shared" si="7"/>
        <v>2977</v>
      </c>
      <c r="L5" s="1">
        <f t="shared" si="7"/>
        <v>2625</v>
      </c>
      <c r="M5" s="1"/>
      <c r="N5" s="1"/>
      <c r="O5" s="1">
        <f t="shared" ref="O5" si="8">SUM(O3:O4)</f>
        <v>45218</v>
      </c>
      <c r="P5" s="1">
        <f t="shared" si="1"/>
        <v>8116.5299492021322</v>
      </c>
      <c r="Q5" s="1">
        <f t="shared" ref="Q5:S5" si="9">SUM(Q3:Q4)</f>
        <v>12290</v>
      </c>
      <c r="R5" s="1">
        <f t="shared" si="9"/>
        <v>11549</v>
      </c>
      <c r="S5" s="1">
        <f t="shared" si="9"/>
        <v>7997</v>
      </c>
      <c r="T5" s="1">
        <f t="shared" ref="T5" si="10">SUM(T3:T4)</f>
        <v>11589</v>
      </c>
      <c r="U5" s="1">
        <f>U3*U23</f>
        <v>12156.3225</v>
      </c>
      <c r="V5" s="1">
        <f t="shared" ref="V5:BV5" si="11">V3*V23</f>
        <v>12764.138625000001</v>
      </c>
      <c r="W5" s="1">
        <f t="shared" si="11"/>
        <v>13402.34555625</v>
      </c>
      <c r="X5" s="1">
        <f t="shared" si="11"/>
        <v>17825.119589812504</v>
      </c>
      <c r="Y5" s="1">
        <f t="shared" si="11"/>
        <v>18181.621981608754</v>
      </c>
      <c r="Z5" s="1">
        <f t="shared" si="11"/>
        <v>18545.254421240927</v>
      </c>
      <c r="AA5" s="1">
        <f t="shared" si="11"/>
        <v>18916.159509665747</v>
      </c>
      <c r="AB5" s="1">
        <f t="shared" si="11"/>
        <v>19294.482699859062</v>
      </c>
      <c r="AC5" s="1">
        <f t="shared" si="11"/>
        <v>19680.372353856244</v>
      </c>
      <c r="AD5" s="1">
        <f t="shared" si="11"/>
        <v>20073.979800933372</v>
      </c>
      <c r="AE5" s="1">
        <f t="shared" si="11"/>
        <v>20475.459396952036</v>
      </c>
      <c r="AF5" s="1">
        <f t="shared" si="11"/>
        <v>20884.968584891078</v>
      </c>
      <c r="AG5" s="1">
        <f t="shared" si="11"/>
        <v>21302.667956588903</v>
      </c>
      <c r="AH5" s="1">
        <f t="shared" si="11"/>
        <v>21728.721315720682</v>
      </c>
      <c r="AI5" s="1">
        <f t="shared" si="11"/>
        <v>22163.295742035094</v>
      </c>
      <c r="AJ5" s="1">
        <f t="shared" si="11"/>
        <v>22606.561656875798</v>
      </c>
      <c r="AK5" s="1">
        <f t="shared" si="11"/>
        <v>23058.692890013313</v>
      </c>
      <c r="AL5" s="1">
        <f t="shared" si="11"/>
        <v>23519.866747813583</v>
      </c>
      <c r="AM5" s="1">
        <f t="shared" si="11"/>
        <v>23990.264082769856</v>
      </c>
      <c r="AN5" s="1">
        <f t="shared" si="11"/>
        <v>24470.069364425253</v>
      </c>
      <c r="AO5" s="1">
        <f t="shared" si="11"/>
        <v>24959.470751713761</v>
      </c>
      <c r="AP5" s="1">
        <f t="shared" si="11"/>
        <v>25458.660166748039</v>
      </c>
      <c r="AQ5" s="1">
        <f t="shared" si="11"/>
        <v>25967.833370083001</v>
      </c>
      <c r="AR5" s="1">
        <f t="shared" si="11"/>
        <v>26487.190037484663</v>
      </c>
      <c r="AS5" s="1">
        <f t="shared" si="11"/>
        <v>27016.933838234356</v>
      </c>
      <c r="AT5" s="1">
        <f t="shared" si="11"/>
        <v>27557.272514999044</v>
      </c>
      <c r="AU5" s="1">
        <f t="shared" si="11"/>
        <v>28108.417965299024</v>
      </c>
      <c r="AV5" s="1">
        <f t="shared" si="11"/>
        <v>28670.586324605007</v>
      </c>
      <c r="AW5" s="1">
        <f t="shared" si="11"/>
        <v>29243.998051097104</v>
      </c>
      <c r="AX5" s="1">
        <f t="shared" si="11"/>
        <v>29828.878012119047</v>
      </c>
      <c r="AY5" s="1">
        <f t="shared" si="11"/>
        <v>30425.455572361428</v>
      </c>
      <c r="AZ5" s="1">
        <f t="shared" si="11"/>
        <v>31033.964683808659</v>
      </c>
      <c r="BA5" s="1">
        <f t="shared" si="11"/>
        <v>31654.64397748483</v>
      </c>
      <c r="BB5" s="1">
        <f t="shared" si="11"/>
        <v>32287.736857034528</v>
      </c>
      <c r="BC5" s="1">
        <f t="shared" si="11"/>
        <v>32933.491594175219</v>
      </c>
      <c r="BD5" s="1">
        <f t="shared" si="11"/>
        <v>33592.161426058723</v>
      </c>
      <c r="BE5" s="1">
        <f t="shared" si="11"/>
        <v>34264.00465457989</v>
      </c>
      <c r="BF5" s="1">
        <f t="shared" si="11"/>
        <v>34949.284747671496</v>
      </c>
      <c r="BG5" s="1">
        <f t="shared" si="11"/>
        <v>35648.270442624926</v>
      </c>
      <c r="BH5" s="1">
        <f t="shared" si="11"/>
        <v>36361.235851477424</v>
      </c>
      <c r="BI5" s="1">
        <f t="shared" si="11"/>
        <v>37088.460568506969</v>
      </c>
      <c r="BJ5" s="1">
        <f t="shared" si="11"/>
        <v>37830.229779877111</v>
      </c>
      <c r="BK5" s="1">
        <f t="shared" si="11"/>
        <v>38586.834375474653</v>
      </c>
      <c r="BL5" s="1">
        <f t="shared" si="11"/>
        <v>39358.571062984141</v>
      </c>
      <c r="BM5" s="1">
        <f t="shared" si="11"/>
        <v>40145.742484243827</v>
      </c>
      <c r="BN5" s="1">
        <f t="shared" si="11"/>
        <v>40948.657333928699</v>
      </c>
      <c r="BO5" s="1">
        <f t="shared" si="11"/>
        <v>41767.630480607273</v>
      </c>
      <c r="BP5" s="1">
        <f t="shared" si="11"/>
        <v>42602.983090219423</v>
      </c>
      <c r="BQ5" s="1">
        <f t="shared" si="11"/>
        <v>43455.042752023815</v>
      </c>
      <c r="BR5" s="1">
        <f t="shared" si="11"/>
        <v>44324.143607064296</v>
      </c>
      <c r="BS5" s="1">
        <f t="shared" si="11"/>
        <v>45210.626479205581</v>
      </c>
      <c r="BT5" s="1">
        <f t="shared" si="11"/>
        <v>46114.839008789691</v>
      </c>
      <c r="BU5" s="1">
        <f t="shared" si="11"/>
        <v>47037.13578896549</v>
      </c>
      <c r="BV5" s="1">
        <f t="shared" si="11"/>
        <v>47977.878504744796</v>
      </c>
    </row>
    <row r="6" spans="1:74" x14ac:dyDescent="0.35">
      <c r="B6" t="s">
        <v>17</v>
      </c>
      <c r="D6" s="1">
        <v>-1112</v>
      </c>
      <c r="E6" s="1">
        <v>-1147</v>
      </c>
      <c r="F6" s="1">
        <v>-1128</v>
      </c>
      <c r="G6" s="1">
        <v>-1207</v>
      </c>
      <c r="H6" s="1">
        <v>-1105</v>
      </c>
      <c r="I6" s="1">
        <v>-1116</v>
      </c>
      <c r="J6" s="1">
        <v>-1218</v>
      </c>
      <c r="K6" s="1">
        <v>-1388</v>
      </c>
      <c r="L6" s="1">
        <v>-1188</v>
      </c>
      <c r="M6" s="1"/>
      <c r="N6" s="1"/>
      <c r="O6" s="1">
        <v>-10792</v>
      </c>
      <c r="P6" s="1">
        <f t="shared" si="1"/>
        <v>-1937.1398826084614</v>
      </c>
      <c r="Q6" s="1">
        <v>-3552</v>
      </c>
      <c r="R6" s="1">
        <v>-4682</v>
      </c>
      <c r="S6" s="1">
        <v>-4594</v>
      </c>
      <c r="T6" s="1">
        <v>-4827</v>
      </c>
      <c r="U6" s="1"/>
    </row>
    <row r="7" spans="1:74" x14ac:dyDescent="0.35">
      <c r="B7" t="s">
        <v>18</v>
      </c>
      <c r="D7" s="1">
        <v>-514</v>
      </c>
      <c r="E7" s="1">
        <v>-511</v>
      </c>
      <c r="F7" s="1">
        <v>-596</v>
      </c>
      <c r="G7" s="1">
        <v>-694</v>
      </c>
      <c r="H7" s="1">
        <v>-528</v>
      </c>
      <c r="I7" s="1">
        <v>-697</v>
      </c>
      <c r="J7" s="1">
        <v>-488</v>
      </c>
      <c r="K7" s="1">
        <v>-565</v>
      </c>
      <c r="L7" s="1">
        <v>-556</v>
      </c>
      <c r="M7" s="1"/>
      <c r="N7" s="1"/>
      <c r="O7" s="1">
        <v>-14481</v>
      </c>
      <c r="P7" s="1">
        <f t="shared" si="1"/>
        <v>-2599.307138626124</v>
      </c>
      <c r="Q7" s="1">
        <v>0</v>
      </c>
      <c r="R7" s="1">
        <v>-2290</v>
      </c>
      <c r="S7" s="1">
        <v>-2315</v>
      </c>
      <c r="T7" s="1">
        <v>-2278</v>
      </c>
      <c r="U7" s="1"/>
    </row>
    <row r="8" spans="1:74" x14ac:dyDescent="0.35">
      <c r="B8" t="s">
        <v>19</v>
      </c>
      <c r="D8" s="1">
        <v>82</v>
      </c>
      <c r="E8" s="1">
        <v>15</v>
      </c>
      <c r="F8" s="1">
        <v>18</v>
      </c>
      <c r="G8" s="1">
        <v>33</v>
      </c>
      <c r="H8" s="1">
        <v>21</v>
      </c>
      <c r="I8" s="1">
        <v>17</v>
      </c>
      <c r="J8" s="1">
        <v>22</v>
      </c>
      <c r="K8" s="1">
        <v>24</v>
      </c>
      <c r="L8" s="1">
        <v>30</v>
      </c>
      <c r="M8" s="1"/>
      <c r="N8" s="1"/>
      <c r="O8" s="1">
        <v>-334</v>
      </c>
      <c r="P8" s="1">
        <f t="shared" si="1"/>
        <v>-59.952253594442745</v>
      </c>
      <c r="Q8" s="1">
        <v>148</v>
      </c>
      <c r="R8" s="1">
        <v>311</v>
      </c>
      <c r="S8" s="1">
        <v>148</v>
      </c>
      <c r="T8" s="1">
        <v>84</v>
      </c>
      <c r="U8" s="1"/>
    </row>
    <row r="9" spans="1:74" x14ac:dyDescent="0.35">
      <c r="B9" t="s">
        <v>20</v>
      </c>
      <c r="D9" s="1">
        <v>-39</v>
      </c>
      <c r="E9" s="1">
        <v>-46</v>
      </c>
      <c r="F9" s="1">
        <v>-23</v>
      </c>
      <c r="G9" s="1">
        <v>-14</v>
      </c>
      <c r="H9" s="1">
        <v>-23</v>
      </c>
      <c r="I9" s="1">
        <v>-44</v>
      </c>
      <c r="J9" s="1">
        <v>-42</v>
      </c>
      <c r="K9" s="1">
        <v>-80</v>
      </c>
      <c r="L9" s="1">
        <v>-28</v>
      </c>
      <c r="M9" s="1"/>
      <c r="N9" s="1"/>
      <c r="O9" s="1">
        <v>839</v>
      </c>
      <c r="P9" s="1">
        <f t="shared" si="1"/>
        <v>150.59862504711816</v>
      </c>
      <c r="Q9" s="1">
        <v>-122</v>
      </c>
      <c r="R9" s="1">
        <v>-100</v>
      </c>
      <c r="S9" s="1">
        <v>-122</v>
      </c>
      <c r="T9" s="1">
        <v>-189</v>
      </c>
      <c r="U9" s="1"/>
    </row>
    <row r="10" spans="1:74" x14ac:dyDescent="0.35">
      <c r="B10" t="s">
        <v>21</v>
      </c>
      <c r="D10" s="1">
        <f t="shared" ref="D10:L10" si="12">SUM(D6:D9)</f>
        <v>-1583</v>
      </c>
      <c r="E10" s="1">
        <f t="shared" si="12"/>
        <v>-1689</v>
      </c>
      <c r="F10" s="1">
        <f t="shared" si="12"/>
        <v>-1729</v>
      </c>
      <c r="G10" s="1">
        <f t="shared" si="12"/>
        <v>-1882</v>
      </c>
      <c r="H10" s="1">
        <f t="shared" si="12"/>
        <v>-1635</v>
      </c>
      <c r="I10" s="1">
        <f t="shared" si="12"/>
        <v>-1840</v>
      </c>
      <c r="J10" s="1">
        <f t="shared" si="12"/>
        <v>-1726</v>
      </c>
      <c r="K10" s="1">
        <f t="shared" si="12"/>
        <v>-2009</v>
      </c>
      <c r="L10" s="1">
        <f t="shared" si="12"/>
        <v>-1742</v>
      </c>
      <c r="M10" s="1"/>
      <c r="N10" s="1"/>
      <c r="O10" s="1">
        <f t="shared" ref="O10" si="13">SUM(O6:O9)</f>
        <v>-24768</v>
      </c>
      <c r="P10" s="1">
        <f t="shared" si="1"/>
        <v>-4445.8006497819097</v>
      </c>
      <c r="Q10" s="1">
        <f t="shared" ref="Q10:S10" si="14">SUM(Q6:Q9)</f>
        <v>-3526</v>
      </c>
      <c r="R10" s="1">
        <f t="shared" si="14"/>
        <v>-6761</v>
      </c>
      <c r="S10" s="1">
        <f t="shared" si="14"/>
        <v>-6883</v>
      </c>
      <c r="T10" s="1">
        <f t="shared" ref="T10" si="15">SUM(T6:T9)</f>
        <v>-7210</v>
      </c>
      <c r="U10" s="1"/>
    </row>
    <row r="11" spans="1:74" x14ac:dyDescent="0.35">
      <c r="B11" t="s">
        <v>22</v>
      </c>
      <c r="D11" s="1">
        <v>-117</v>
      </c>
      <c r="E11" s="1">
        <v>308</v>
      </c>
      <c r="F11" s="1">
        <v>535</v>
      </c>
      <c r="G11" s="1">
        <f>G5+G10</f>
        <v>388</v>
      </c>
      <c r="H11" s="1">
        <f>H5+H10</f>
        <v>724</v>
      </c>
      <c r="I11" s="1">
        <v>1133</v>
      </c>
      <c r="J11" s="1">
        <f>J5+J10</f>
        <v>1554</v>
      </c>
      <c r="K11" s="1">
        <f>K5+K10</f>
        <v>968</v>
      </c>
      <c r="L11" s="1">
        <f>L5+L10</f>
        <v>883</v>
      </c>
      <c r="M11" s="1"/>
      <c r="N11" s="1"/>
      <c r="O11" s="1">
        <f t="shared" ref="O11" si="16">O5+O10</f>
        <v>20450</v>
      </c>
      <c r="P11" s="1">
        <f t="shared" si="1"/>
        <v>3670.7292994202221</v>
      </c>
      <c r="Q11" s="1">
        <f t="shared" ref="Q11:R11" si="17">Q5+Q10</f>
        <v>8764</v>
      </c>
      <c r="R11" s="1">
        <f t="shared" si="17"/>
        <v>4788</v>
      </c>
      <c r="S11" s="1">
        <v>1084</v>
      </c>
      <c r="T11" s="1">
        <v>4377</v>
      </c>
      <c r="U11" s="1"/>
    </row>
    <row r="12" spans="1:74" x14ac:dyDescent="0.35">
      <c r="B12" t="s">
        <v>25</v>
      </c>
      <c r="D12" s="1">
        <v>121</v>
      </c>
      <c r="E12" s="1">
        <v>99</v>
      </c>
      <c r="F12" s="1">
        <v>123</v>
      </c>
      <c r="G12" s="1">
        <v>241</v>
      </c>
      <c r="H12" s="1">
        <v>168</v>
      </c>
      <c r="I12" s="1">
        <v>196</v>
      </c>
      <c r="J12" s="1">
        <v>153</v>
      </c>
      <c r="K12" s="1">
        <v>202</v>
      </c>
      <c r="L12" s="1">
        <v>236</v>
      </c>
      <c r="M12" s="1"/>
      <c r="N12" s="1"/>
      <c r="O12" s="1">
        <v>3557</v>
      </c>
      <c r="P12" s="1">
        <f t="shared" si="1"/>
        <v>638.4735510042899</v>
      </c>
      <c r="Q12" s="1">
        <v>584</v>
      </c>
      <c r="R12" s="1">
        <v>809</v>
      </c>
      <c r="S12" s="1">
        <v>584</v>
      </c>
      <c r="T12" s="1">
        <v>719</v>
      </c>
      <c r="U12" s="1"/>
    </row>
    <row r="13" spans="1:74" x14ac:dyDescent="0.35">
      <c r="B13" t="s">
        <v>26</v>
      </c>
      <c r="D13" s="1">
        <v>-421</v>
      </c>
      <c r="E13" s="1">
        <v>-435</v>
      </c>
      <c r="F13" s="1">
        <v>-500</v>
      </c>
      <c r="G13" s="1">
        <v>-581</v>
      </c>
      <c r="H13" s="1">
        <v>-516</v>
      </c>
      <c r="I13" s="1">
        <v>-796</v>
      </c>
      <c r="J13" s="1">
        <v>-515</v>
      </c>
      <c r="K13" s="1">
        <v>-562</v>
      </c>
      <c r="L13" s="1">
        <v>-427</v>
      </c>
      <c r="M13" s="1"/>
      <c r="N13" s="1"/>
      <c r="O13" s="1">
        <v>-15796</v>
      </c>
      <c r="P13" s="1">
        <f t="shared" si="1"/>
        <v>-2835.3466999335856</v>
      </c>
      <c r="Q13" s="1">
        <v>-1937</v>
      </c>
      <c r="R13" s="1">
        <v>-2050</v>
      </c>
      <c r="S13" s="1">
        <v>-1937</v>
      </c>
      <c r="T13" s="1">
        <v>-2389</v>
      </c>
      <c r="U13" s="1"/>
    </row>
    <row r="14" spans="1:74" x14ac:dyDescent="0.35">
      <c r="B14" t="s">
        <v>27</v>
      </c>
      <c r="D14" s="1">
        <f t="shared" ref="D14:L14" si="18">SUM(D12:D13)</f>
        <v>-300</v>
      </c>
      <c r="E14" s="1">
        <f t="shared" si="18"/>
        <v>-336</v>
      </c>
      <c r="F14" s="1">
        <f t="shared" si="18"/>
        <v>-377</v>
      </c>
      <c r="G14" s="1">
        <f t="shared" si="18"/>
        <v>-340</v>
      </c>
      <c r="H14" s="1">
        <f t="shared" si="18"/>
        <v>-348</v>
      </c>
      <c r="I14" s="1">
        <f t="shared" si="18"/>
        <v>-600</v>
      </c>
      <c r="J14" s="1">
        <f t="shared" si="18"/>
        <v>-362</v>
      </c>
      <c r="K14" s="1">
        <f t="shared" si="18"/>
        <v>-360</v>
      </c>
      <c r="L14" s="1">
        <f t="shared" si="18"/>
        <v>-191</v>
      </c>
      <c r="M14" s="1"/>
      <c r="N14" s="1"/>
      <c r="O14" s="1">
        <f t="shared" ref="O14" si="19">SUM(O12:O13)</f>
        <v>-12239</v>
      </c>
      <c r="P14" s="1">
        <f t="shared" si="1"/>
        <v>-2196.8731489292959</v>
      </c>
      <c r="Q14" s="1">
        <f t="shared" ref="Q14:S14" si="20">SUM(Q12:Q13)</f>
        <v>-1353</v>
      </c>
      <c r="R14" s="1">
        <f t="shared" si="20"/>
        <v>-1241</v>
      </c>
      <c r="S14" s="1">
        <f t="shared" si="20"/>
        <v>-1353</v>
      </c>
      <c r="T14" s="1">
        <f t="shared" ref="T14" si="21">SUM(T12:T13)</f>
        <v>-1670</v>
      </c>
      <c r="U14" s="1"/>
    </row>
    <row r="15" spans="1:74" x14ac:dyDescent="0.35">
      <c r="B15" t="s">
        <v>28</v>
      </c>
      <c r="D15" s="1">
        <v>3</v>
      </c>
      <c r="E15" s="1">
        <v>3</v>
      </c>
      <c r="F15" s="1">
        <v>4</v>
      </c>
      <c r="G15" s="1">
        <v>0</v>
      </c>
      <c r="H15" s="1">
        <v>-7</v>
      </c>
      <c r="I15" s="1">
        <v>3</v>
      </c>
      <c r="J15" s="1">
        <v>4</v>
      </c>
      <c r="K15" s="1">
        <v>3</v>
      </c>
      <c r="L15" s="1">
        <v>3</v>
      </c>
      <c r="M15" s="1"/>
      <c r="N15" s="1"/>
      <c r="O15" s="1">
        <v>53</v>
      </c>
      <c r="P15" s="1">
        <f t="shared" si="1"/>
        <v>9.5133815583995975</v>
      </c>
      <c r="Q15" s="1">
        <v>10</v>
      </c>
      <c r="R15" s="1">
        <v>12</v>
      </c>
      <c r="S15" s="1">
        <v>10</v>
      </c>
      <c r="T15" s="1">
        <v>3</v>
      </c>
      <c r="U15" s="1"/>
    </row>
    <row r="16" spans="1:74" x14ac:dyDescent="0.35">
      <c r="B16" t="s">
        <v>29</v>
      </c>
      <c r="D16" s="1">
        <f t="shared" ref="D16:L16" si="22">D11+D14+D15</f>
        <v>-414</v>
      </c>
      <c r="E16" s="1">
        <f t="shared" si="22"/>
        <v>-25</v>
      </c>
      <c r="F16" s="1">
        <f t="shared" si="22"/>
        <v>162</v>
      </c>
      <c r="G16" s="1">
        <f t="shared" si="22"/>
        <v>48</v>
      </c>
      <c r="H16" s="1">
        <f t="shared" si="22"/>
        <v>369</v>
      </c>
      <c r="I16" s="1">
        <f t="shared" si="22"/>
        <v>536</v>
      </c>
      <c r="J16" s="1">
        <f t="shared" si="22"/>
        <v>1196</v>
      </c>
      <c r="K16" s="1">
        <f t="shared" si="22"/>
        <v>611</v>
      </c>
      <c r="L16" s="1">
        <f t="shared" si="22"/>
        <v>695</v>
      </c>
      <c r="M16" s="1"/>
      <c r="N16" s="1"/>
      <c r="O16" s="1">
        <f t="shared" ref="O16" si="23">O11+O14+O15</f>
        <v>8264</v>
      </c>
      <c r="P16" s="1">
        <f t="shared" si="1"/>
        <v>1483.3695320493259</v>
      </c>
      <c r="Q16" s="1">
        <f t="shared" ref="Q16:S16" si="24">Q11+Q14+Q15</f>
        <v>7421</v>
      </c>
      <c r="R16" s="1">
        <f t="shared" si="24"/>
        <v>3559</v>
      </c>
      <c r="S16" s="1">
        <f t="shared" si="24"/>
        <v>-259</v>
      </c>
      <c r="T16" s="1">
        <f t="shared" ref="T16" si="25">T11+T14+T15</f>
        <v>2710</v>
      </c>
      <c r="U16" s="1"/>
    </row>
    <row r="17" spans="2:74" x14ac:dyDescent="0.35">
      <c r="B17" t="s">
        <v>30</v>
      </c>
      <c r="D17" s="1">
        <v>-7</v>
      </c>
      <c r="E17" s="1">
        <v>-32</v>
      </c>
      <c r="F17" s="1">
        <v>-98</v>
      </c>
      <c r="G17" s="1">
        <v>68</v>
      </c>
      <c r="H17" s="1">
        <v>-4</v>
      </c>
      <c r="I17" s="1">
        <v>-253</v>
      </c>
      <c r="J17" s="1">
        <v>-142</v>
      </c>
      <c r="K17" s="1">
        <v>-471</v>
      </c>
      <c r="L17" s="1">
        <v>-225</v>
      </c>
      <c r="M17" s="1"/>
      <c r="N17" s="1"/>
      <c r="O17" s="1">
        <v>-2387</v>
      </c>
      <c r="P17" s="1">
        <f t="shared" si="1"/>
        <v>-428.46116565848752</v>
      </c>
      <c r="Q17" s="1">
        <v>-69</v>
      </c>
      <c r="R17" s="1">
        <v>-515</v>
      </c>
      <c r="S17" s="1">
        <v>-69</v>
      </c>
      <c r="T17" s="1">
        <v>-870</v>
      </c>
      <c r="U17" s="1"/>
    </row>
    <row r="18" spans="2:74" x14ac:dyDescent="0.35">
      <c r="B18" t="s">
        <v>31</v>
      </c>
      <c r="D18" s="1">
        <v>145</v>
      </c>
      <c r="E18" s="1">
        <v>18</v>
      </c>
      <c r="F18" s="1">
        <v>77</v>
      </c>
      <c r="G18" s="1">
        <v>-43</v>
      </c>
      <c r="H18" s="1">
        <v>1</v>
      </c>
      <c r="I18" s="1">
        <v>104</v>
      </c>
      <c r="J18" s="1">
        <v>-298</v>
      </c>
      <c r="K18" s="1">
        <v>320</v>
      </c>
      <c r="L18" s="1">
        <v>87</v>
      </c>
      <c r="M18" s="1"/>
      <c r="N18" s="1"/>
      <c r="O18" s="1">
        <v>-1222</v>
      </c>
      <c r="P18" s="1">
        <f t="shared" si="1"/>
        <v>-219.3462691389492</v>
      </c>
      <c r="Q18" s="1">
        <v>197</v>
      </c>
      <c r="R18" s="1">
        <v>105</v>
      </c>
      <c r="S18" s="1">
        <v>197</v>
      </c>
      <c r="T18" s="1">
        <v>127</v>
      </c>
      <c r="U18" s="1"/>
    </row>
    <row r="19" spans="2:74" x14ac:dyDescent="0.35">
      <c r="B19" t="s">
        <v>32</v>
      </c>
      <c r="D19" s="1">
        <f t="shared" ref="D19:L19" si="26">SUM(D17:D18)</f>
        <v>138</v>
      </c>
      <c r="E19" s="1">
        <f t="shared" si="26"/>
        <v>-14</v>
      </c>
      <c r="F19" s="1">
        <f t="shared" si="26"/>
        <v>-21</v>
      </c>
      <c r="G19" s="1">
        <f t="shared" si="26"/>
        <v>25</v>
      </c>
      <c r="H19" s="1">
        <f t="shared" si="26"/>
        <v>-3</v>
      </c>
      <c r="I19" s="1">
        <f t="shared" si="26"/>
        <v>-149</v>
      </c>
      <c r="J19" s="1">
        <f t="shared" si="26"/>
        <v>-440</v>
      </c>
      <c r="K19" s="1">
        <f t="shared" si="26"/>
        <v>-151</v>
      </c>
      <c r="L19" s="1">
        <f t="shared" si="26"/>
        <v>-138</v>
      </c>
      <c r="M19" s="1"/>
      <c r="N19" s="1"/>
      <c r="O19" s="1">
        <f t="shared" ref="O19" si="27">SUM(O17:O18)</f>
        <v>-3609</v>
      </c>
      <c r="P19" s="1">
        <f t="shared" si="1"/>
        <v>-647.80743479743671</v>
      </c>
      <c r="Q19" s="1">
        <f t="shared" ref="Q19:S19" si="28">SUM(Q17:Q18)</f>
        <v>128</v>
      </c>
      <c r="R19" s="1">
        <f t="shared" si="28"/>
        <v>-410</v>
      </c>
      <c r="S19" s="1">
        <f t="shared" si="28"/>
        <v>128</v>
      </c>
      <c r="T19" s="1">
        <f t="shared" ref="T19" si="29">SUM(T17:T18)</f>
        <v>-743</v>
      </c>
      <c r="U19" s="1"/>
    </row>
    <row r="20" spans="2:74" x14ac:dyDescent="0.35">
      <c r="B20" t="s">
        <v>33</v>
      </c>
      <c r="D20" s="1">
        <f t="shared" ref="D20:L20" si="30">D16+D19</f>
        <v>-276</v>
      </c>
      <c r="E20" s="1">
        <f t="shared" si="30"/>
        <v>-39</v>
      </c>
      <c r="F20" s="1">
        <f t="shared" si="30"/>
        <v>141</v>
      </c>
      <c r="G20" s="1">
        <f t="shared" si="30"/>
        <v>73</v>
      </c>
      <c r="H20" s="1">
        <f t="shared" si="30"/>
        <v>366</v>
      </c>
      <c r="I20" s="1">
        <f t="shared" si="30"/>
        <v>387</v>
      </c>
      <c r="J20" s="1">
        <f t="shared" si="30"/>
        <v>756</v>
      </c>
      <c r="K20" s="1">
        <f t="shared" si="30"/>
        <v>460</v>
      </c>
      <c r="L20" s="1">
        <f t="shared" si="30"/>
        <v>557</v>
      </c>
      <c r="M20" s="1"/>
      <c r="N20" s="1"/>
      <c r="O20" s="1">
        <f t="shared" ref="O20" si="31">O16+O19</f>
        <v>4655</v>
      </c>
      <c r="P20" s="1">
        <f t="shared" si="1"/>
        <v>835.5620972518891</v>
      </c>
      <c r="Q20" s="1">
        <f t="shared" ref="Q20:S20" si="32">Q16+Q19</f>
        <v>7549</v>
      </c>
      <c r="R20" s="1">
        <f t="shared" si="32"/>
        <v>3149</v>
      </c>
      <c r="S20" s="1">
        <f t="shared" si="32"/>
        <v>-131</v>
      </c>
      <c r="T20" s="1">
        <f t="shared" ref="T20" si="33">T16+T19</f>
        <v>1967</v>
      </c>
      <c r="U20" s="1">
        <f>U5*U21</f>
        <v>2431.2645000000002</v>
      </c>
      <c r="V20" s="1">
        <f t="shared" ref="V20:BV20" si="34">V5*V21</f>
        <v>2552.8277250000006</v>
      </c>
      <c r="W20" s="1">
        <f t="shared" si="34"/>
        <v>2680.4691112500004</v>
      </c>
      <c r="X20" s="1">
        <f t="shared" si="34"/>
        <v>3565.0239179625009</v>
      </c>
      <c r="Y20" s="1">
        <f t="shared" si="34"/>
        <v>3636.324396321751</v>
      </c>
      <c r="Z20" s="1">
        <f t="shared" si="34"/>
        <v>3709.0508842481854</v>
      </c>
      <c r="AA20" s="1">
        <f t="shared" si="34"/>
        <v>3783.2319019331499</v>
      </c>
      <c r="AB20" s="1">
        <f t="shared" si="34"/>
        <v>3858.8965399718127</v>
      </c>
      <c r="AC20" s="1">
        <f t="shared" si="34"/>
        <v>3936.0744707712493</v>
      </c>
      <c r="AD20" s="1">
        <f t="shared" si="34"/>
        <v>4014.7959601866746</v>
      </c>
      <c r="AE20" s="1">
        <f t="shared" si="34"/>
        <v>4095.0918793904075</v>
      </c>
      <c r="AF20" s="1">
        <f t="shared" si="34"/>
        <v>4176.9937169782161</v>
      </c>
      <c r="AG20" s="1">
        <f t="shared" si="34"/>
        <v>4260.5335913177805</v>
      </c>
      <c r="AH20" s="1">
        <f t="shared" si="34"/>
        <v>4345.7442631441363</v>
      </c>
      <c r="AI20" s="1">
        <f t="shared" si="34"/>
        <v>4432.6591484070186</v>
      </c>
      <c r="AJ20" s="1">
        <f t="shared" si="34"/>
        <v>4521.3123313751594</v>
      </c>
      <c r="AK20" s="1">
        <f t="shared" si="34"/>
        <v>4611.7385780026625</v>
      </c>
      <c r="AL20" s="1">
        <f t="shared" si="34"/>
        <v>4703.973349562717</v>
      </c>
      <c r="AM20" s="1">
        <f t="shared" si="34"/>
        <v>4798.0528165539718</v>
      </c>
      <c r="AN20" s="1">
        <f t="shared" si="34"/>
        <v>4894.0138728850507</v>
      </c>
      <c r="AO20" s="1">
        <f t="shared" si="34"/>
        <v>4991.8941503427523</v>
      </c>
      <c r="AP20" s="1">
        <f t="shared" si="34"/>
        <v>5091.7320333496082</v>
      </c>
      <c r="AQ20" s="1">
        <f t="shared" si="34"/>
        <v>5193.5666740166007</v>
      </c>
      <c r="AR20" s="1">
        <f t="shared" si="34"/>
        <v>5297.4380074969331</v>
      </c>
      <c r="AS20" s="1">
        <f t="shared" si="34"/>
        <v>5403.3867676468717</v>
      </c>
      <c r="AT20" s="1">
        <f t="shared" si="34"/>
        <v>5511.4545029998089</v>
      </c>
      <c r="AU20" s="1">
        <f t="shared" si="34"/>
        <v>5621.6835930598054</v>
      </c>
      <c r="AV20" s="1">
        <f t="shared" si="34"/>
        <v>5734.1172649210021</v>
      </c>
      <c r="AW20" s="1">
        <f t="shared" si="34"/>
        <v>5848.7996102194211</v>
      </c>
      <c r="AX20" s="1">
        <f t="shared" si="34"/>
        <v>5965.7756024238097</v>
      </c>
      <c r="AY20" s="1">
        <f t="shared" si="34"/>
        <v>6085.0911144722859</v>
      </c>
      <c r="AZ20" s="1">
        <f t="shared" si="34"/>
        <v>6206.7929367617326</v>
      </c>
      <c r="BA20" s="1">
        <f t="shared" si="34"/>
        <v>6330.9287954969659</v>
      </c>
      <c r="BB20" s="1">
        <f t="shared" si="34"/>
        <v>6457.5473714069058</v>
      </c>
      <c r="BC20" s="1">
        <f t="shared" si="34"/>
        <v>6586.6983188350441</v>
      </c>
      <c r="BD20" s="1">
        <f t="shared" si="34"/>
        <v>6718.4322852117448</v>
      </c>
      <c r="BE20" s="1">
        <f t="shared" si="34"/>
        <v>6852.8009309159788</v>
      </c>
      <c r="BF20" s="1">
        <f t="shared" si="34"/>
        <v>6989.8569495342999</v>
      </c>
      <c r="BG20" s="1">
        <f t="shared" si="34"/>
        <v>7129.6540885249851</v>
      </c>
      <c r="BH20" s="1">
        <f t="shared" si="34"/>
        <v>7272.2471702954854</v>
      </c>
      <c r="BI20" s="1">
        <f t="shared" si="34"/>
        <v>7417.6921137013942</v>
      </c>
      <c r="BJ20" s="1">
        <f t="shared" si="34"/>
        <v>7566.0459559754227</v>
      </c>
      <c r="BK20" s="1">
        <f t="shared" si="34"/>
        <v>7717.3668750949309</v>
      </c>
      <c r="BL20" s="1">
        <f t="shared" si="34"/>
        <v>7871.7142125968285</v>
      </c>
      <c r="BM20" s="1">
        <f t="shared" si="34"/>
        <v>8029.1484968487657</v>
      </c>
      <c r="BN20" s="1">
        <f t="shared" si="34"/>
        <v>8189.7314667857399</v>
      </c>
      <c r="BO20" s="1">
        <f t="shared" si="34"/>
        <v>8353.5260961214553</v>
      </c>
      <c r="BP20" s="1">
        <f t="shared" si="34"/>
        <v>8520.5966180438845</v>
      </c>
      <c r="BQ20" s="1">
        <f t="shared" si="34"/>
        <v>8691.0085504047638</v>
      </c>
      <c r="BR20" s="1">
        <f t="shared" si="34"/>
        <v>8864.8287214128595</v>
      </c>
      <c r="BS20" s="1">
        <f t="shared" si="34"/>
        <v>9042.1252958411169</v>
      </c>
      <c r="BT20" s="1">
        <f t="shared" si="34"/>
        <v>9222.967801757939</v>
      </c>
      <c r="BU20" s="1">
        <f t="shared" si="34"/>
        <v>9407.4271577930976</v>
      </c>
      <c r="BV20" s="1">
        <f t="shared" si="34"/>
        <v>9595.5757009489589</v>
      </c>
    </row>
    <row r="21" spans="2:74" x14ac:dyDescent="0.35">
      <c r="B21" t="s">
        <v>136</v>
      </c>
      <c r="P21" s="3">
        <f>P20/P5</f>
        <v>0.10294572957671723</v>
      </c>
      <c r="Q21" s="3">
        <f t="shared" ref="Q21:T21" si="35">Q20/Q5</f>
        <v>0.61423921887713584</v>
      </c>
      <c r="R21" s="3">
        <f t="shared" si="35"/>
        <v>0.27266429993938868</v>
      </c>
      <c r="S21" s="3">
        <f t="shared" si="35"/>
        <v>-1.6381142928598224E-2</v>
      </c>
      <c r="T21" s="3">
        <f t="shared" si="35"/>
        <v>0.16972991629993961</v>
      </c>
      <c r="U21">
        <v>0.2</v>
      </c>
      <c r="V21">
        <v>0.2</v>
      </c>
      <c r="W21">
        <v>0.2</v>
      </c>
      <c r="X21">
        <v>0.2</v>
      </c>
      <c r="Y21">
        <v>0.2</v>
      </c>
      <c r="Z21">
        <v>0.2</v>
      </c>
      <c r="AA21">
        <v>0.2</v>
      </c>
      <c r="AB21">
        <v>0.2</v>
      </c>
      <c r="AC21">
        <v>0.2</v>
      </c>
      <c r="AD21">
        <v>0.2</v>
      </c>
      <c r="AE21">
        <v>0.2</v>
      </c>
      <c r="AF21">
        <v>0.2</v>
      </c>
      <c r="AG21">
        <v>0.2</v>
      </c>
      <c r="AH21">
        <v>0.2</v>
      </c>
      <c r="AI21">
        <v>0.2</v>
      </c>
      <c r="AJ21">
        <v>0.2</v>
      </c>
      <c r="AK21">
        <v>0.2</v>
      </c>
      <c r="AL21">
        <v>0.2</v>
      </c>
      <c r="AM21">
        <v>0.2</v>
      </c>
      <c r="AN21">
        <v>0.2</v>
      </c>
      <c r="AO21">
        <v>0.2</v>
      </c>
      <c r="AP21">
        <v>0.2</v>
      </c>
      <c r="AQ21">
        <v>0.2</v>
      </c>
      <c r="AR21">
        <v>0.2</v>
      </c>
      <c r="AS21">
        <v>0.2</v>
      </c>
      <c r="AT21">
        <v>0.2</v>
      </c>
      <c r="AU21">
        <v>0.2</v>
      </c>
      <c r="AV21">
        <v>0.2</v>
      </c>
      <c r="AW21">
        <v>0.2</v>
      </c>
      <c r="AX21">
        <v>0.2</v>
      </c>
      <c r="AY21">
        <v>0.2</v>
      </c>
      <c r="AZ21">
        <v>0.2</v>
      </c>
      <c r="BA21">
        <v>0.2</v>
      </c>
      <c r="BB21">
        <v>0.2</v>
      </c>
      <c r="BC21">
        <v>0.2</v>
      </c>
      <c r="BD21">
        <v>0.2</v>
      </c>
      <c r="BE21">
        <v>0.2</v>
      </c>
      <c r="BF21">
        <v>0.2</v>
      </c>
      <c r="BG21">
        <v>0.2</v>
      </c>
      <c r="BH21">
        <v>0.2</v>
      </c>
      <c r="BI21">
        <v>0.2</v>
      </c>
      <c r="BJ21">
        <v>0.2</v>
      </c>
      <c r="BK21">
        <v>0.2</v>
      </c>
      <c r="BL21">
        <v>0.2</v>
      </c>
      <c r="BM21">
        <v>0.2</v>
      </c>
      <c r="BN21">
        <v>0.2</v>
      </c>
      <c r="BO21">
        <v>0.2</v>
      </c>
      <c r="BP21">
        <v>0.2</v>
      </c>
      <c r="BQ21">
        <v>0.2</v>
      </c>
      <c r="BR21">
        <v>0.2</v>
      </c>
      <c r="BS21">
        <v>0.2</v>
      </c>
      <c r="BT21">
        <v>0.2</v>
      </c>
      <c r="BU21">
        <v>0.2</v>
      </c>
      <c r="BV21">
        <v>0.2</v>
      </c>
    </row>
    <row r="22" spans="2:74" x14ac:dyDescent="0.35">
      <c r="B22" t="s">
        <v>44</v>
      </c>
      <c r="P22" s="3">
        <v>-0.28000000000000003</v>
      </c>
      <c r="Q22" s="3">
        <f>Q3/P3-1</f>
        <v>0.34106474108451401</v>
      </c>
      <c r="R22" s="3">
        <f>R3/Q3-1</f>
        <v>0.11647679227587893</v>
      </c>
      <c r="S22" s="3">
        <f t="shared" ref="S22:T22" si="36">S3/R3-1</f>
        <v>4.1173797491014241E-3</v>
      </c>
      <c r="T22" s="3">
        <f t="shared" si="36"/>
        <v>5.8490359033434913E-2</v>
      </c>
    </row>
    <row r="23" spans="2:74" x14ac:dyDescent="0.35">
      <c r="B23" t="s">
        <v>45</v>
      </c>
      <c r="P23" s="3">
        <f>P5/P3</f>
        <v>0.16734763363976846</v>
      </c>
      <c r="Q23" s="3">
        <f t="shared" ref="Q23:T23" si="37">Q5/Q3</f>
        <v>0.18895192411174147</v>
      </c>
      <c r="R23" s="3">
        <f t="shared" si="37"/>
        <v>0.1590355141216486</v>
      </c>
      <c r="S23" s="3">
        <f t="shared" si="37"/>
        <v>0.1096711374420582</v>
      </c>
      <c r="T23" s="3">
        <f t="shared" si="37"/>
        <v>0.15014964435173547</v>
      </c>
      <c r="U23" s="3">
        <v>0.15</v>
      </c>
      <c r="V23" s="3">
        <v>0.15</v>
      </c>
      <c r="W23" s="3">
        <v>0.15</v>
      </c>
      <c r="X23" s="3">
        <v>0.19</v>
      </c>
      <c r="Y23" s="3">
        <v>0.19</v>
      </c>
      <c r="Z23" s="3">
        <v>0.19</v>
      </c>
      <c r="AA23" s="3">
        <v>0.19</v>
      </c>
      <c r="AB23" s="3">
        <v>0.19</v>
      </c>
      <c r="AC23" s="3">
        <v>0.19</v>
      </c>
      <c r="AD23" s="3">
        <v>0.19</v>
      </c>
      <c r="AE23" s="3">
        <v>0.19</v>
      </c>
      <c r="AF23" s="3">
        <v>0.19</v>
      </c>
      <c r="AG23" s="3">
        <v>0.19</v>
      </c>
      <c r="AH23" s="3">
        <v>0.19</v>
      </c>
      <c r="AI23" s="3">
        <v>0.19</v>
      </c>
      <c r="AJ23" s="3">
        <v>0.19</v>
      </c>
      <c r="AK23" s="3">
        <v>0.19</v>
      </c>
      <c r="AL23" s="3">
        <v>0.19</v>
      </c>
      <c r="AM23" s="3">
        <v>0.19</v>
      </c>
      <c r="AN23" s="3">
        <v>0.19</v>
      </c>
      <c r="AO23" s="3">
        <v>0.19</v>
      </c>
      <c r="AP23" s="3">
        <v>0.19</v>
      </c>
      <c r="AQ23" s="3">
        <v>0.19</v>
      </c>
      <c r="AR23" s="3">
        <v>0.19</v>
      </c>
      <c r="AS23" s="3">
        <v>0.19</v>
      </c>
      <c r="AT23" s="3">
        <v>0.19</v>
      </c>
      <c r="AU23" s="3">
        <v>0.19</v>
      </c>
      <c r="AV23" s="3">
        <v>0.19</v>
      </c>
      <c r="AW23" s="3">
        <v>0.19</v>
      </c>
      <c r="AX23" s="3">
        <v>0.19</v>
      </c>
      <c r="AY23" s="3">
        <v>0.19</v>
      </c>
      <c r="AZ23" s="3">
        <v>0.19</v>
      </c>
      <c r="BA23" s="3">
        <v>0.19</v>
      </c>
      <c r="BB23" s="3">
        <v>0.19</v>
      </c>
      <c r="BC23" s="3">
        <v>0.19</v>
      </c>
      <c r="BD23" s="3">
        <v>0.19</v>
      </c>
      <c r="BE23" s="3">
        <v>0.19</v>
      </c>
      <c r="BF23" s="3">
        <v>0.19</v>
      </c>
      <c r="BG23" s="3">
        <v>0.19</v>
      </c>
      <c r="BH23" s="3">
        <v>0.19</v>
      </c>
      <c r="BI23" s="3">
        <v>0.19</v>
      </c>
      <c r="BJ23" s="3">
        <v>0.19</v>
      </c>
      <c r="BK23" s="3">
        <v>0.19</v>
      </c>
      <c r="BL23" s="3">
        <v>0.19</v>
      </c>
      <c r="BM23" s="3">
        <v>0.19</v>
      </c>
      <c r="BN23" s="3">
        <v>0.19</v>
      </c>
      <c r="BO23" s="3">
        <v>0.19</v>
      </c>
      <c r="BP23" s="3">
        <v>0.19</v>
      </c>
      <c r="BQ23" s="3">
        <v>0.19</v>
      </c>
      <c r="BR23" s="3">
        <v>0.19</v>
      </c>
      <c r="BS23" s="3">
        <v>0.19</v>
      </c>
      <c r="BT23" s="3">
        <v>0.19</v>
      </c>
      <c r="BU23" s="3">
        <v>0.19</v>
      </c>
      <c r="BV23" s="3">
        <v>0.19</v>
      </c>
    </row>
    <row r="24" spans="2:74" x14ac:dyDescent="0.35">
      <c r="P24" t="s">
        <v>8</v>
      </c>
      <c r="Q24" t="s">
        <v>8</v>
      </c>
    </row>
    <row r="25" spans="2:74" x14ac:dyDescent="0.35">
      <c r="P25">
        <v>5.5711000000000004</v>
      </c>
      <c r="Q25">
        <v>5.1936999999999998</v>
      </c>
    </row>
    <row r="26" spans="2:74" x14ac:dyDescent="0.35">
      <c r="P26" t="s">
        <v>51</v>
      </c>
    </row>
    <row r="27" spans="2:74" x14ac:dyDescent="0.35">
      <c r="B27" t="s">
        <v>52</v>
      </c>
      <c r="P27">
        <f>1/P25</f>
        <v>0.1794977652528226</v>
      </c>
    </row>
    <row r="28" spans="2:74" x14ac:dyDescent="0.35">
      <c r="R28" s="1"/>
      <c r="S28" s="1"/>
      <c r="T28" s="1"/>
      <c r="Y28" t="s">
        <v>133</v>
      </c>
      <c r="Z28" s="6">
        <v>7.0000000000000007E-2</v>
      </c>
      <c r="AB28" t="s">
        <v>134</v>
      </c>
    </row>
    <row r="29" spans="2:74" x14ac:dyDescent="0.35">
      <c r="B29" t="s">
        <v>53</v>
      </c>
      <c r="R29" s="1">
        <v>2581</v>
      </c>
      <c r="S29" s="1">
        <v>2379</v>
      </c>
      <c r="T29" s="1">
        <v>4230</v>
      </c>
      <c r="Y29" t="s">
        <v>129</v>
      </c>
      <c r="Z29" s="6">
        <v>0.02</v>
      </c>
    </row>
    <row r="30" spans="2:74" x14ac:dyDescent="0.35">
      <c r="B30" t="s">
        <v>54</v>
      </c>
      <c r="R30" s="1">
        <f>2173+8</f>
        <v>2181</v>
      </c>
      <c r="S30" s="1">
        <f>1502+9</f>
        <v>1511</v>
      </c>
      <c r="T30" s="1">
        <f>1480+11</f>
        <v>1491</v>
      </c>
      <c r="Y30" t="s">
        <v>130</v>
      </c>
      <c r="Z30" t="s">
        <v>135</v>
      </c>
    </row>
    <row r="31" spans="2:74" x14ac:dyDescent="0.35">
      <c r="B31" t="s">
        <v>55</v>
      </c>
      <c r="R31" s="1">
        <f>R29-R30</f>
        <v>400</v>
      </c>
      <c r="S31" s="1">
        <f t="shared" ref="S31:T31" si="38">S29-S30</f>
        <v>868</v>
      </c>
      <c r="T31" s="1">
        <f t="shared" si="38"/>
        <v>2739</v>
      </c>
      <c r="Y31" t="s">
        <v>131</v>
      </c>
      <c r="Z31" s="7">
        <f>NPV(Z28,T20:BV20)</f>
        <v>57747.474525144324</v>
      </c>
    </row>
    <row r="32" spans="2:74" x14ac:dyDescent="0.35">
      <c r="Y32" t="s">
        <v>132</v>
      </c>
      <c r="Z32" s="7">
        <f>Z31/main!M4</f>
        <v>26.03583161638608</v>
      </c>
    </row>
    <row r="33" spans="2:20" x14ac:dyDescent="0.35">
      <c r="L33" s="1"/>
    </row>
    <row r="34" spans="2:20" x14ac:dyDescent="0.35">
      <c r="L34" s="1"/>
      <c r="Q34" s="1"/>
    </row>
    <row r="35" spans="2:20" x14ac:dyDescent="0.35">
      <c r="B35" s="4" t="s">
        <v>56</v>
      </c>
      <c r="L35" s="1"/>
    </row>
    <row r="36" spans="2:20" x14ac:dyDescent="0.35">
      <c r="B36" s="4" t="s">
        <v>57</v>
      </c>
      <c r="L36" s="1"/>
    </row>
    <row r="37" spans="2:20" x14ac:dyDescent="0.35">
      <c r="B37" t="s">
        <v>58</v>
      </c>
      <c r="L37" s="1"/>
      <c r="S37" s="1">
        <v>4570</v>
      </c>
    </row>
    <row r="38" spans="2:20" x14ac:dyDescent="0.35">
      <c r="B38" t="s">
        <v>59</v>
      </c>
      <c r="L38" s="1"/>
      <c r="S38" s="1">
        <v>132</v>
      </c>
    </row>
    <row r="39" spans="2:20" x14ac:dyDescent="0.35">
      <c r="B39" t="s">
        <v>60</v>
      </c>
      <c r="L39" s="1"/>
      <c r="S39" s="1">
        <v>3391</v>
      </c>
    </row>
    <row r="40" spans="2:20" x14ac:dyDescent="0.35">
      <c r="B40" t="s">
        <v>61</v>
      </c>
      <c r="L40" s="1"/>
      <c r="O40">
        <f>N40+23</f>
        <v>23</v>
      </c>
      <c r="S40" s="1">
        <v>5101</v>
      </c>
    </row>
    <row r="41" spans="2:20" x14ac:dyDescent="0.35">
      <c r="B41" t="s">
        <v>62</v>
      </c>
      <c r="L41" s="1"/>
      <c r="S41" s="1">
        <v>1712</v>
      </c>
    </row>
    <row r="42" spans="2:20" x14ac:dyDescent="0.35">
      <c r="B42" t="s">
        <v>63</v>
      </c>
      <c r="L42" s="1"/>
      <c r="S42" s="1">
        <v>919</v>
      </c>
    </row>
    <row r="43" spans="2:20" x14ac:dyDescent="0.35">
      <c r="B43" t="s">
        <v>64</v>
      </c>
      <c r="L43" s="1"/>
      <c r="S43" s="1">
        <v>88</v>
      </c>
    </row>
    <row r="44" spans="2:20" x14ac:dyDescent="0.35">
      <c r="B44" t="s">
        <v>65</v>
      </c>
      <c r="L44" s="1"/>
      <c r="S44" s="1">
        <v>323</v>
      </c>
    </row>
    <row r="45" spans="2:20" x14ac:dyDescent="0.35">
      <c r="B45" s="4" t="s">
        <v>66</v>
      </c>
      <c r="L45" s="1"/>
      <c r="S45" s="1">
        <f>SUM(S37:S44)</f>
        <v>16236</v>
      </c>
      <c r="T45" s="1">
        <f>S45-S37</f>
        <v>11666</v>
      </c>
    </row>
    <row r="46" spans="2:20" x14ac:dyDescent="0.35">
      <c r="B46" s="4" t="s">
        <v>67</v>
      </c>
      <c r="T46">
        <f>T45/[1]model!$F$26</f>
        <v>1.1963901138344786</v>
      </c>
    </row>
    <row r="47" spans="2:20" x14ac:dyDescent="0.35">
      <c r="B47" t="s">
        <v>63</v>
      </c>
      <c r="S47" s="1">
        <v>1744</v>
      </c>
    </row>
    <row r="48" spans="2:20" x14ac:dyDescent="0.35">
      <c r="B48" t="s">
        <v>62</v>
      </c>
      <c r="S48" s="1">
        <v>531</v>
      </c>
    </row>
    <row r="49" spans="2:20" x14ac:dyDescent="0.35">
      <c r="B49" t="s">
        <v>68</v>
      </c>
      <c r="S49" s="1">
        <v>119</v>
      </c>
    </row>
    <row r="50" spans="2:20" x14ac:dyDescent="0.35">
      <c r="B50" t="s">
        <v>31</v>
      </c>
      <c r="S50" s="1">
        <v>775</v>
      </c>
    </row>
    <row r="51" spans="2:20" x14ac:dyDescent="0.35">
      <c r="B51" t="s">
        <v>64</v>
      </c>
      <c r="S51" s="1">
        <v>82</v>
      </c>
    </row>
    <row r="52" spans="2:20" x14ac:dyDescent="0.35">
      <c r="B52" t="s">
        <v>69</v>
      </c>
      <c r="S52" s="1">
        <v>319</v>
      </c>
    </row>
    <row r="53" spans="2:20" x14ac:dyDescent="0.35">
      <c r="B53" t="s">
        <v>70</v>
      </c>
      <c r="S53" s="1">
        <v>57</v>
      </c>
    </row>
    <row r="54" spans="2:20" x14ac:dyDescent="0.35">
      <c r="B54" t="s">
        <v>71</v>
      </c>
      <c r="S54" s="1">
        <v>12918</v>
      </c>
    </row>
    <row r="55" spans="2:20" x14ac:dyDescent="0.35">
      <c r="B55" t="s">
        <v>72</v>
      </c>
      <c r="S55" s="1">
        <v>1706</v>
      </c>
    </row>
    <row r="56" spans="2:20" x14ac:dyDescent="0.35">
      <c r="B56" t="s">
        <v>73</v>
      </c>
      <c r="S56" s="1">
        <v>1986</v>
      </c>
    </row>
    <row r="57" spans="2:20" x14ac:dyDescent="0.35">
      <c r="B57" t="s">
        <v>74</v>
      </c>
      <c r="S57" s="1">
        <v>6105</v>
      </c>
    </row>
    <row r="58" spans="2:20" x14ac:dyDescent="0.35">
      <c r="B58" s="4" t="s">
        <v>75</v>
      </c>
      <c r="S58" s="1">
        <f>SUM(S47:S57)</f>
        <v>26342</v>
      </c>
    </row>
    <row r="59" spans="2:20" x14ac:dyDescent="0.35">
      <c r="B59" s="4" t="s">
        <v>76</v>
      </c>
      <c r="K59" s="1"/>
      <c r="S59" s="1">
        <f>SUM(S58,S45)</f>
        <v>42578</v>
      </c>
    </row>
    <row r="60" spans="2:20" x14ac:dyDescent="0.35">
      <c r="B60" s="4" t="s">
        <v>77</v>
      </c>
      <c r="T60">
        <f>S59/[1]model!$F$22</f>
        <v>1.1476549865229111</v>
      </c>
    </row>
    <row r="61" spans="2:20" x14ac:dyDescent="0.35">
      <c r="B61" s="4" t="s">
        <v>78</v>
      </c>
    </row>
    <row r="62" spans="2:20" x14ac:dyDescent="0.35">
      <c r="B62" t="s">
        <v>79</v>
      </c>
    </row>
    <row r="63" spans="2:20" x14ac:dyDescent="0.35">
      <c r="B63" t="s">
        <v>80</v>
      </c>
    </row>
    <row r="64" spans="2:20" x14ac:dyDescent="0.35">
      <c r="B64" t="s">
        <v>81</v>
      </c>
    </row>
    <row r="65" spans="2:2" x14ac:dyDescent="0.35">
      <c r="B65" t="s">
        <v>82</v>
      </c>
    </row>
    <row r="66" spans="2:2" x14ac:dyDescent="0.35">
      <c r="B66" t="s">
        <v>83</v>
      </c>
    </row>
    <row r="67" spans="2:2" x14ac:dyDescent="0.35">
      <c r="B67" t="s">
        <v>84</v>
      </c>
    </row>
    <row r="68" spans="2:2" x14ac:dyDescent="0.35">
      <c r="B68" t="s">
        <v>85</v>
      </c>
    </row>
    <row r="69" spans="2:2" x14ac:dyDescent="0.35">
      <c r="B69" t="s">
        <v>86</v>
      </c>
    </row>
    <row r="70" spans="2:2" x14ac:dyDescent="0.35">
      <c r="B70" t="s">
        <v>87</v>
      </c>
    </row>
    <row r="71" spans="2:2" x14ac:dyDescent="0.35">
      <c r="B71" t="s">
        <v>88</v>
      </c>
    </row>
    <row r="72" spans="2:2" x14ac:dyDescent="0.35">
      <c r="B72" t="s">
        <v>89</v>
      </c>
    </row>
    <row r="73" spans="2:2" x14ac:dyDescent="0.35">
      <c r="B73" s="4" t="s">
        <v>90</v>
      </c>
    </row>
    <row r="74" spans="2:2" x14ac:dyDescent="0.35">
      <c r="B74" t="s">
        <v>81</v>
      </c>
    </row>
    <row r="75" spans="2:2" x14ac:dyDescent="0.35">
      <c r="B75" t="s">
        <v>91</v>
      </c>
    </row>
    <row r="76" spans="2:2" x14ac:dyDescent="0.35">
      <c r="B76" t="s">
        <v>84</v>
      </c>
    </row>
    <row r="77" spans="2:2" x14ac:dyDescent="0.35">
      <c r="B77" t="s">
        <v>85</v>
      </c>
    </row>
    <row r="78" spans="2:2" x14ac:dyDescent="0.35">
      <c r="B78" t="s">
        <v>31</v>
      </c>
    </row>
    <row r="79" spans="2:2" x14ac:dyDescent="0.35">
      <c r="B79" t="s">
        <v>87</v>
      </c>
    </row>
    <row r="80" spans="2:2" x14ac:dyDescent="0.35">
      <c r="B80" t="s">
        <v>92</v>
      </c>
    </row>
    <row r="81" spans="2:2" x14ac:dyDescent="0.35">
      <c r="B81" s="4" t="s">
        <v>93</v>
      </c>
    </row>
    <row r="82" spans="2:2" x14ac:dyDescent="0.35">
      <c r="B82" t="s">
        <v>94</v>
      </c>
    </row>
    <row r="83" spans="2:2" x14ac:dyDescent="0.35">
      <c r="B83" t="s">
        <v>95</v>
      </c>
    </row>
    <row r="84" spans="2:2" x14ac:dyDescent="0.35">
      <c r="B84" t="s">
        <v>96</v>
      </c>
    </row>
    <row r="85" spans="2:2" x14ac:dyDescent="0.35">
      <c r="B85" t="s">
        <v>97</v>
      </c>
    </row>
    <row r="86" spans="2:2" x14ac:dyDescent="0.35">
      <c r="B86" t="s">
        <v>98</v>
      </c>
    </row>
    <row r="87" spans="2:2" x14ac:dyDescent="0.35">
      <c r="B87" t="s">
        <v>99</v>
      </c>
    </row>
    <row r="88" spans="2:2" x14ac:dyDescent="0.35">
      <c r="B88" t="s">
        <v>100</v>
      </c>
    </row>
    <row r="89" spans="2:2" x14ac:dyDescent="0.35">
      <c r="B89" s="4" t="s">
        <v>101</v>
      </c>
    </row>
    <row r="90" spans="2:2" x14ac:dyDescent="0.35">
      <c r="B90" s="4" t="s">
        <v>102</v>
      </c>
    </row>
  </sheetData>
  <hyperlinks>
    <hyperlink ref="A1" location="main!A1" display="main" xr:uid="{A1D65E2B-6E0A-42F2-846D-2FC415F89C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2025-05-21T21:44:57Z</dcterms:modified>
</cp:coreProperties>
</file>