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2BD41507-AF66-485F-91D1-BAD5D8D31807}" xr6:coauthVersionLast="47" xr6:coauthVersionMax="47" xr10:uidLastSave="{00000000-0000-0000-0000-000000000000}"/>
  <bookViews>
    <workbookView xWindow="9990" yWindow="2870" windowWidth="18180" windowHeight="13630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2" l="1"/>
  <c r="P48" i="2"/>
  <c r="P38" i="2"/>
  <c r="P40" i="2" s="1"/>
  <c r="P42" i="2" s="1"/>
  <c r="O38" i="2"/>
  <c r="O40" i="2" s="1"/>
  <c r="O42" i="2" s="1"/>
  <c r="Q40" i="2"/>
  <c r="Q42" i="2" s="1"/>
  <c r="Q38" i="2"/>
  <c r="P28" i="2"/>
  <c r="O28" i="2"/>
  <c r="N18" i="1"/>
  <c r="N17" i="1"/>
  <c r="N16" i="1"/>
  <c r="N15" i="1"/>
  <c r="N14" i="1"/>
  <c r="N13" i="1"/>
  <c r="N19" i="1"/>
  <c r="M13" i="1"/>
  <c r="M14" i="1"/>
  <c r="M15" i="1"/>
  <c r="M16" i="1"/>
  <c r="M17" i="1"/>
  <c r="M18" i="1"/>
  <c r="Q28" i="2"/>
  <c r="L2" i="2"/>
  <c r="M2" i="2" s="1"/>
  <c r="N2" i="2" s="1"/>
  <c r="O2" i="2" s="1"/>
  <c r="P2" i="2" s="1"/>
  <c r="Q2" i="2" s="1"/>
  <c r="R2" i="2" s="1"/>
  <c r="G48" i="2"/>
  <c r="F34" i="2"/>
  <c r="F38" i="2" s="1"/>
  <c r="F40" i="2" s="1"/>
  <c r="F42" i="2" s="1"/>
  <c r="G34" i="2"/>
  <c r="G38" i="2" s="1"/>
  <c r="G40" i="2" s="1"/>
  <c r="G42" i="2" s="1"/>
  <c r="M7" i="1"/>
  <c r="M6" i="1"/>
  <c r="M4" i="1"/>
</calcChain>
</file>

<file path=xl/sharedStrings.xml><?xml version="1.0" encoding="utf-8"?>
<sst xmlns="http://schemas.openxmlformats.org/spreadsheetml/2006/main" count="90" uniqueCount="66">
  <si>
    <t>Price</t>
  </si>
  <si>
    <t>Shares</t>
  </si>
  <si>
    <t>MC</t>
  </si>
  <si>
    <t>Cash</t>
  </si>
  <si>
    <t>Debt</t>
  </si>
  <si>
    <t>EV</t>
  </si>
  <si>
    <t>Name</t>
  </si>
  <si>
    <t>Indication</t>
  </si>
  <si>
    <t>Economics</t>
  </si>
  <si>
    <t>Approved</t>
  </si>
  <si>
    <t>IP</t>
  </si>
  <si>
    <t>Phase</t>
  </si>
  <si>
    <t>Competition</t>
  </si>
  <si>
    <t>Main</t>
  </si>
  <si>
    <t>Revenues</t>
  </si>
  <si>
    <t>2Q25</t>
  </si>
  <si>
    <t>2Q24</t>
  </si>
  <si>
    <t>COGS</t>
  </si>
  <si>
    <t>R&amp;D</t>
  </si>
  <si>
    <t>Acquired IPR&amp;D and milestones</t>
  </si>
  <si>
    <t>Other operaing income</t>
  </si>
  <si>
    <t>Operating earnings</t>
  </si>
  <si>
    <t>Revenue y/y</t>
  </si>
  <si>
    <t>Interest expense, net</t>
  </si>
  <si>
    <t>Net foreign exchange loss</t>
  </si>
  <si>
    <t>Other expense, net</t>
  </si>
  <si>
    <t>EBIT</t>
  </si>
  <si>
    <t>Income tax</t>
  </si>
  <si>
    <t>Net earnings to non controlling</t>
  </si>
  <si>
    <t>Net earnings</t>
  </si>
  <si>
    <t>Net earnings  to ABBV</t>
  </si>
  <si>
    <t>SG&amp;A</t>
  </si>
  <si>
    <t>Humira</t>
  </si>
  <si>
    <t>Skyrizi</t>
  </si>
  <si>
    <t>Rinvoq</t>
  </si>
  <si>
    <t>Imbruvica</t>
  </si>
  <si>
    <t>Venclexta</t>
  </si>
  <si>
    <t>Elahere</t>
  </si>
  <si>
    <t>Epkinly</t>
  </si>
  <si>
    <t>Botox Cosmetic</t>
  </si>
  <si>
    <t>Juvederm Collection</t>
  </si>
  <si>
    <t>Other aeshetics</t>
  </si>
  <si>
    <t>Botox therapeutic</t>
  </si>
  <si>
    <t>Vraylar</t>
  </si>
  <si>
    <t>Duodopa</t>
  </si>
  <si>
    <t>Ubrelvy</t>
  </si>
  <si>
    <t>Qulipa</t>
  </si>
  <si>
    <t>Other neuroscience</t>
  </si>
  <si>
    <t>Ozurdex</t>
  </si>
  <si>
    <t>Lumigan/Ganfort</t>
  </si>
  <si>
    <t>Alphagan/Combigan</t>
  </si>
  <si>
    <t>Restasis</t>
  </si>
  <si>
    <t>Other eye care</t>
  </si>
  <si>
    <t>Mavyret</t>
  </si>
  <si>
    <t>Creon</t>
  </si>
  <si>
    <t>Linzess/Constella</t>
  </si>
  <si>
    <t>All other</t>
  </si>
  <si>
    <t>Other Key Products</t>
  </si>
  <si>
    <t>Eye Care</t>
  </si>
  <si>
    <t>Neuroscience</t>
  </si>
  <si>
    <t>Aesthetics</t>
  </si>
  <si>
    <t>Oncology</t>
  </si>
  <si>
    <t>Immunology</t>
  </si>
  <si>
    <t>Total</t>
  </si>
  <si>
    <t>Share</t>
  </si>
  <si>
    <t>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</si>
</sst>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1" fillId="0" borderId="0" xfId="1"/>
    <xf numFmtId="9" fontId="0" fillId="0" borderId="0" xfId="0" applyNumberFormat="1"/>
    <xf numFmtId="4" fontId="0" fillId="0" borderId="0" xfId="0" applyNumberForma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9" fontId="3" fillId="0" borderId="0" xfId="0" applyNumberFormat="1" applyFont="1"/>
    <xf numFmtId="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7"/>
  <sheetViews>
    <sheetView tabSelected="1" workbookViewId="0">
      <selection activeCell="C4" sqref="C4"/>
    </sheetView>
  </sheetViews>
  <sheetFormatPr defaultRowHeight="14" x14ac:dyDescent="0.3"/>
  <cols>
    <col min="1" max="1" width="8.7265625" style="6"/>
    <col min="2" max="2" width="18" style="6" bestFit="1" customWidth="1"/>
    <col min="3" max="3" width="9.1796875" style="6" bestFit="1" customWidth="1"/>
    <col min="4" max="4" width="9.6328125" style="6" bestFit="1" customWidth="1"/>
    <col min="5" max="11" width="8.7265625" style="6"/>
    <col min="12" max="12" width="16.81640625" style="6" bestFit="1" customWidth="1"/>
    <col min="13" max="16384" width="8.7265625" style="6"/>
  </cols>
  <sheetData>
    <row r="2" spans="2:14" x14ac:dyDescent="0.3">
      <c r="B2" s="5" t="s">
        <v>6</v>
      </c>
      <c r="C2" s="5" t="s">
        <v>7</v>
      </c>
      <c r="D2" s="5" t="s">
        <v>8</v>
      </c>
      <c r="E2" s="5" t="s">
        <v>65</v>
      </c>
      <c r="F2" s="5" t="s">
        <v>9</v>
      </c>
      <c r="G2" s="5" t="s">
        <v>10</v>
      </c>
      <c r="L2" s="6" t="s">
        <v>0</v>
      </c>
      <c r="M2" s="6">
        <v>197</v>
      </c>
    </row>
    <row r="3" spans="2:14" x14ac:dyDescent="0.3">
      <c r="B3" s="6" t="s">
        <v>32</v>
      </c>
      <c r="L3" s="6" t="s">
        <v>1</v>
      </c>
      <c r="M3" s="6">
        <v>1800</v>
      </c>
    </row>
    <row r="4" spans="2:14" x14ac:dyDescent="0.3">
      <c r="B4" s="6" t="s">
        <v>33</v>
      </c>
      <c r="L4" s="6" t="s">
        <v>2</v>
      </c>
      <c r="M4" s="7">
        <f>M2*M3</f>
        <v>354600</v>
      </c>
    </row>
    <row r="5" spans="2:14" x14ac:dyDescent="0.3">
      <c r="B5" s="6" t="s">
        <v>34</v>
      </c>
      <c r="L5" s="6" t="s">
        <v>3</v>
      </c>
      <c r="M5" s="7">
        <v>6467</v>
      </c>
    </row>
    <row r="6" spans="2:14" x14ac:dyDescent="0.3">
      <c r="B6" s="6" t="s">
        <v>35</v>
      </c>
      <c r="L6" s="6" t="s">
        <v>4</v>
      </c>
      <c r="M6" s="7">
        <f>5556+1966+62959</f>
        <v>70481</v>
      </c>
    </row>
    <row r="7" spans="2:14" x14ac:dyDescent="0.3">
      <c r="B7" s="6" t="s">
        <v>36</v>
      </c>
      <c r="L7" s="6" t="s">
        <v>5</v>
      </c>
      <c r="M7" s="7">
        <f>M4-M5+M6</f>
        <v>418614</v>
      </c>
    </row>
    <row r="8" spans="2:14" x14ac:dyDescent="0.3">
      <c r="B8" s="6" t="s">
        <v>37</v>
      </c>
    </row>
    <row r="9" spans="2:14" x14ac:dyDescent="0.3">
      <c r="B9" s="6" t="s">
        <v>38</v>
      </c>
    </row>
    <row r="10" spans="2:14" x14ac:dyDescent="0.3">
      <c r="B10" s="6" t="s">
        <v>39</v>
      </c>
    </row>
    <row r="11" spans="2:14" x14ac:dyDescent="0.3">
      <c r="B11" s="6" t="s">
        <v>40</v>
      </c>
    </row>
    <row r="12" spans="2:14" x14ac:dyDescent="0.3">
      <c r="B12" s="6" t="s">
        <v>41</v>
      </c>
      <c r="N12" s="6" t="s">
        <v>64</v>
      </c>
    </row>
    <row r="13" spans="2:14" x14ac:dyDescent="0.3">
      <c r="B13" s="6" t="s">
        <v>42</v>
      </c>
      <c r="L13" s="6" t="s">
        <v>62</v>
      </c>
      <c r="M13" s="6">
        <f>8993+11718+5971</f>
        <v>26682</v>
      </c>
      <c r="N13" s="8">
        <f t="shared" ref="N13:N18" si="0">M13/$M$19</f>
        <v>0.47363936521461286</v>
      </c>
    </row>
    <row r="14" spans="2:14" x14ac:dyDescent="0.3">
      <c r="B14" s="6" t="s">
        <v>43</v>
      </c>
      <c r="L14" s="6" t="s">
        <v>61</v>
      </c>
      <c r="M14" s="6">
        <f>146+479+2583+3347</f>
        <v>6555</v>
      </c>
      <c r="N14" s="8">
        <f t="shared" si="0"/>
        <v>0.11635956970923421</v>
      </c>
    </row>
    <row r="15" spans="2:14" x14ac:dyDescent="0.3">
      <c r="B15" s="6" t="s">
        <v>44</v>
      </c>
      <c r="L15" s="6" t="s">
        <v>60</v>
      </c>
      <c r="M15" s="6">
        <f>2720+1177+1279</f>
        <v>5176</v>
      </c>
      <c r="N15" s="8">
        <f t="shared" si="0"/>
        <v>9.1880569460716446E-2</v>
      </c>
    </row>
    <row r="16" spans="2:14" x14ac:dyDescent="0.3">
      <c r="B16" s="6" t="s">
        <v>45</v>
      </c>
      <c r="L16" s="6" t="s">
        <v>59</v>
      </c>
      <c r="M16" s="6">
        <f>338+658+1006+447+3267+3283</f>
        <v>8999</v>
      </c>
      <c r="N16" s="8">
        <f t="shared" si="0"/>
        <v>0.1597436716725246</v>
      </c>
    </row>
    <row r="17" spans="2:14" x14ac:dyDescent="0.3">
      <c r="B17" s="6" t="s">
        <v>46</v>
      </c>
      <c r="L17" s="6" t="s">
        <v>58</v>
      </c>
      <c r="M17" s="6">
        <f>847+224+248+429+494</f>
        <v>2242</v>
      </c>
      <c r="N17" s="8">
        <f t="shared" si="0"/>
        <v>3.9798345581709089E-2</v>
      </c>
    </row>
    <row r="18" spans="2:14" x14ac:dyDescent="0.3">
      <c r="B18" s="6" t="s">
        <v>47</v>
      </c>
      <c r="L18" s="6" t="s">
        <v>57</v>
      </c>
      <c r="M18" s="6">
        <f>3032+954+1383+1311</f>
        <v>6680</v>
      </c>
      <c r="N18" s="8">
        <f t="shared" si="0"/>
        <v>0.11857847836120283</v>
      </c>
    </row>
    <row r="19" spans="2:14" x14ac:dyDescent="0.3">
      <c r="B19" s="6" t="s">
        <v>48</v>
      </c>
      <c r="L19" s="5" t="s">
        <v>63</v>
      </c>
      <c r="M19" s="5">
        <v>56334</v>
      </c>
      <c r="N19" s="9">
        <f>M19/$M$19</f>
        <v>1</v>
      </c>
    </row>
    <row r="20" spans="2:14" x14ac:dyDescent="0.3">
      <c r="B20" s="6" t="s">
        <v>49</v>
      </c>
    </row>
    <row r="21" spans="2:14" x14ac:dyDescent="0.3">
      <c r="B21" s="6" t="s">
        <v>50</v>
      </c>
    </row>
    <row r="22" spans="2:14" x14ac:dyDescent="0.3">
      <c r="B22" s="6" t="s">
        <v>51</v>
      </c>
    </row>
    <row r="23" spans="2:14" x14ac:dyDescent="0.3">
      <c r="B23" s="6" t="s">
        <v>52</v>
      </c>
    </row>
    <row r="24" spans="2:14" x14ac:dyDescent="0.3">
      <c r="B24" s="6" t="s">
        <v>53</v>
      </c>
    </row>
    <row r="25" spans="2:14" x14ac:dyDescent="0.3">
      <c r="B25" s="6" t="s">
        <v>54</v>
      </c>
    </row>
    <row r="26" spans="2:14" x14ac:dyDescent="0.3">
      <c r="B26" s="6" t="s">
        <v>55</v>
      </c>
    </row>
    <row r="27" spans="2:14" x14ac:dyDescent="0.3">
      <c r="E27" s="6" t="s">
        <v>11</v>
      </c>
      <c r="F27" s="6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7E7E-DCF2-4579-A3AF-92A9AACC93CA}">
  <dimension ref="A1:R48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O17" sqref="O17"/>
    </sheetView>
  </sheetViews>
  <sheetFormatPr defaultRowHeight="14.5" x14ac:dyDescent="0.35"/>
  <cols>
    <col min="1" max="1" width="5.08984375" bestFit="1" customWidth="1"/>
    <col min="2" max="2" width="27.453125" bestFit="1" customWidth="1"/>
    <col min="3" max="3" width="4.26953125" customWidth="1"/>
    <col min="4" max="4" width="7.453125" customWidth="1"/>
    <col min="5" max="5" width="11.81640625" customWidth="1"/>
    <col min="6" max="10" width="8.7265625" style="1"/>
    <col min="11" max="18" width="8.7265625" style="4"/>
  </cols>
  <sheetData>
    <row r="1" spans="1:18" x14ac:dyDescent="0.35">
      <c r="A1" s="2" t="s">
        <v>13</v>
      </c>
      <c r="F1"/>
      <c r="G1"/>
      <c r="H1"/>
      <c r="I1"/>
      <c r="J1"/>
      <c r="K1"/>
      <c r="L1"/>
      <c r="M1"/>
      <c r="N1"/>
      <c r="O1"/>
      <c r="P1"/>
      <c r="Q1"/>
      <c r="R1"/>
    </row>
    <row r="2" spans="1:18" x14ac:dyDescent="0.35">
      <c r="F2" t="s">
        <v>16</v>
      </c>
      <c r="G2" t="s">
        <v>15</v>
      </c>
      <c r="H2"/>
      <c r="I2"/>
      <c r="J2"/>
      <c r="K2">
        <v>2018</v>
      </c>
      <c r="L2">
        <f>K2+1</f>
        <v>2019</v>
      </c>
      <c r="M2">
        <f t="shared" ref="M2:R2" si="0">L2+1</f>
        <v>2020</v>
      </c>
      <c r="N2">
        <f t="shared" si="0"/>
        <v>2021</v>
      </c>
      <c r="O2">
        <f t="shared" si="0"/>
        <v>2022</v>
      </c>
      <c r="P2">
        <f t="shared" si="0"/>
        <v>2023</v>
      </c>
      <c r="Q2">
        <f t="shared" si="0"/>
        <v>2024</v>
      </c>
      <c r="R2">
        <f t="shared" si="0"/>
        <v>2025</v>
      </c>
    </row>
    <row r="3" spans="1:18" x14ac:dyDescent="0.35">
      <c r="B3" t="s">
        <v>32</v>
      </c>
      <c r="F3"/>
      <c r="G3"/>
      <c r="H3"/>
      <c r="I3"/>
      <c r="J3"/>
      <c r="O3" s="4">
        <v>21237</v>
      </c>
      <c r="P3" s="4">
        <v>14404</v>
      </c>
      <c r="Q3" s="4">
        <v>8993</v>
      </c>
    </row>
    <row r="4" spans="1:18" x14ac:dyDescent="0.35">
      <c r="B4" t="s">
        <v>33</v>
      </c>
      <c r="F4"/>
      <c r="G4"/>
      <c r="H4"/>
      <c r="I4"/>
      <c r="J4"/>
      <c r="O4" s="4">
        <v>5165</v>
      </c>
      <c r="P4" s="4">
        <v>7763</v>
      </c>
      <c r="Q4" s="4">
        <v>11718</v>
      </c>
    </row>
    <row r="5" spans="1:18" x14ac:dyDescent="0.35">
      <c r="B5" t="s">
        <v>34</v>
      </c>
      <c r="F5"/>
      <c r="G5"/>
      <c r="H5"/>
      <c r="I5"/>
      <c r="J5"/>
      <c r="O5" s="4">
        <v>2522</v>
      </c>
      <c r="P5" s="4">
        <v>3969</v>
      </c>
      <c r="Q5" s="4">
        <v>5971</v>
      </c>
    </row>
    <row r="6" spans="1:18" x14ac:dyDescent="0.35">
      <c r="B6" t="s">
        <v>35</v>
      </c>
      <c r="F6"/>
      <c r="G6"/>
      <c r="H6"/>
      <c r="I6"/>
      <c r="J6"/>
      <c r="O6" s="4">
        <v>4568</v>
      </c>
      <c r="P6" s="4">
        <v>3596</v>
      </c>
      <c r="Q6" s="4">
        <v>3347</v>
      </c>
    </row>
    <row r="7" spans="1:18" x14ac:dyDescent="0.35">
      <c r="B7" t="s">
        <v>36</v>
      </c>
      <c r="O7" s="4">
        <v>2009</v>
      </c>
      <c r="P7" s="4">
        <v>2288</v>
      </c>
      <c r="Q7" s="4">
        <v>2583</v>
      </c>
    </row>
    <row r="8" spans="1:18" x14ac:dyDescent="0.35">
      <c r="B8" t="s">
        <v>37</v>
      </c>
      <c r="O8" s="4">
        <v>0</v>
      </c>
      <c r="P8" s="4">
        <v>0</v>
      </c>
      <c r="Q8" s="4">
        <v>479</v>
      </c>
    </row>
    <row r="9" spans="1:18" x14ac:dyDescent="0.35">
      <c r="B9" t="s">
        <v>38</v>
      </c>
      <c r="O9" s="4">
        <v>0</v>
      </c>
      <c r="P9" s="4">
        <v>31</v>
      </c>
      <c r="Q9" s="4">
        <v>146</v>
      </c>
    </row>
    <row r="10" spans="1:18" x14ac:dyDescent="0.35">
      <c r="B10" t="s">
        <v>39</v>
      </c>
      <c r="O10" s="4">
        <v>2615</v>
      </c>
      <c r="P10" s="4">
        <v>2682</v>
      </c>
      <c r="Q10" s="4">
        <v>2720</v>
      </c>
    </row>
    <row r="11" spans="1:18" x14ac:dyDescent="0.35">
      <c r="B11" t="s">
        <v>40</v>
      </c>
      <c r="O11" s="4">
        <v>1428</v>
      </c>
      <c r="P11" s="4">
        <v>1378</v>
      </c>
      <c r="Q11" s="4">
        <v>1177</v>
      </c>
    </row>
    <row r="12" spans="1:18" x14ac:dyDescent="0.35">
      <c r="B12" t="s">
        <v>41</v>
      </c>
      <c r="O12" s="4">
        <v>1290</v>
      </c>
      <c r="P12" s="4">
        <v>1234</v>
      </c>
      <c r="Q12" s="4">
        <v>1279</v>
      </c>
    </row>
    <row r="13" spans="1:18" x14ac:dyDescent="0.35">
      <c r="B13" t="s">
        <v>42</v>
      </c>
      <c r="O13" s="4">
        <v>2719</v>
      </c>
      <c r="P13" s="4">
        <v>2991</v>
      </c>
      <c r="Q13" s="4">
        <v>3283</v>
      </c>
    </row>
    <row r="14" spans="1:18" x14ac:dyDescent="0.35">
      <c r="B14" t="s">
        <v>43</v>
      </c>
      <c r="O14" s="4">
        <v>2038</v>
      </c>
      <c r="P14" s="4">
        <v>2759</v>
      </c>
      <c r="Q14" s="4">
        <v>3267</v>
      </c>
    </row>
    <row r="15" spans="1:18" x14ac:dyDescent="0.35">
      <c r="B15" t="s">
        <v>44</v>
      </c>
      <c r="O15" s="4">
        <v>458</v>
      </c>
      <c r="P15" s="4">
        <v>468</v>
      </c>
      <c r="Q15" s="4">
        <v>447</v>
      </c>
    </row>
    <row r="16" spans="1:18" x14ac:dyDescent="0.35">
      <c r="B16" t="s">
        <v>45</v>
      </c>
      <c r="O16" s="4">
        <v>680</v>
      </c>
      <c r="P16" s="4">
        <v>815</v>
      </c>
      <c r="Q16" s="4">
        <v>1006</v>
      </c>
    </row>
    <row r="17" spans="2:17" x14ac:dyDescent="0.35">
      <c r="B17" t="s">
        <v>46</v>
      </c>
      <c r="O17" s="4">
        <v>158</v>
      </c>
      <c r="P17" s="4">
        <v>408</v>
      </c>
      <c r="Q17" s="4">
        <v>658</v>
      </c>
    </row>
    <row r="18" spans="2:17" x14ac:dyDescent="0.35">
      <c r="B18" t="s">
        <v>47</v>
      </c>
      <c r="O18" s="4">
        <v>475</v>
      </c>
      <c r="P18" s="4">
        <v>276</v>
      </c>
      <c r="Q18" s="4">
        <v>338</v>
      </c>
    </row>
    <row r="19" spans="2:17" x14ac:dyDescent="0.35">
      <c r="B19" t="s">
        <v>48</v>
      </c>
      <c r="O19" s="4">
        <v>428</v>
      </c>
      <c r="P19" s="4">
        <v>472</v>
      </c>
      <c r="Q19" s="4">
        <v>494</v>
      </c>
    </row>
    <row r="20" spans="2:17" x14ac:dyDescent="0.35">
      <c r="B20" t="s">
        <v>49</v>
      </c>
      <c r="O20" s="4">
        <v>514</v>
      </c>
      <c r="P20" s="4">
        <v>432</v>
      </c>
      <c r="Q20" s="4">
        <v>429</v>
      </c>
    </row>
    <row r="21" spans="2:17" x14ac:dyDescent="0.35">
      <c r="B21" t="s">
        <v>50</v>
      </c>
      <c r="O21" s="4">
        <v>346</v>
      </c>
      <c r="P21" s="4">
        <v>272</v>
      </c>
      <c r="Q21" s="4">
        <v>248</v>
      </c>
    </row>
    <row r="22" spans="2:17" x14ac:dyDescent="0.35">
      <c r="B22" t="s">
        <v>51</v>
      </c>
      <c r="O22" s="4">
        <v>666</v>
      </c>
      <c r="P22" s="4">
        <v>436</v>
      </c>
      <c r="Q22" s="4">
        <v>224</v>
      </c>
    </row>
    <row r="23" spans="2:17" x14ac:dyDescent="0.35">
      <c r="B23" t="s">
        <v>52</v>
      </c>
      <c r="O23" s="4">
        <v>747</v>
      </c>
      <c r="P23" s="4">
        <v>803</v>
      </c>
      <c r="Q23" s="4">
        <v>847</v>
      </c>
    </row>
    <row r="24" spans="2:17" x14ac:dyDescent="0.35">
      <c r="B24" t="s">
        <v>53</v>
      </c>
      <c r="O24" s="4">
        <v>1541</v>
      </c>
      <c r="P24" s="4">
        <v>1430</v>
      </c>
      <c r="Q24" s="4">
        <v>1311</v>
      </c>
    </row>
    <row r="25" spans="2:17" x14ac:dyDescent="0.35">
      <c r="B25" t="s">
        <v>54</v>
      </c>
      <c r="O25" s="4">
        <v>1278</v>
      </c>
      <c r="P25" s="4">
        <v>1268</v>
      </c>
      <c r="Q25" s="4">
        <v>1383</v>
      </c>
    </row>
    <row r="26" spans="2:17" x14ac:dyDescent="0.35">
      <c r="B26" t="s">
        <v>55</v>
      </c>
      <c r="O26" s="4">
        <v>1035</v>
      </c>
      <c r="P26" s="4">
        <v>1108</v>
      </c>
      <c r="Q26" s="4">
        <v>954</v>
      </c>
    </row>
    <row r="27" spans="2:17" x14ac:dyDescent="0.35">
      <c r="B27" t="s">
        <v>56</v>
      </c>
      <c r="O27" s="4">
        <v>4137</v>
      </c>
      <c r="P27" s="4">
        <v>3035</v>
      </c>
      <c r="Q27" s="4">
        <v>3032</v>
      </c>
    </row>
    <row r="28" spans="2:17" x14ac:dyDescent="0.35">
      <c r="B28" t="s">
        <v>14</v>
      </c>
      <c r="F28" s="1">
        <v>14462</v>
      </c>
      <c r="G28" s="1">
        <v>15423</v>
      </c>
      <c r="O28" s="4">
        <f t="shared" ref="O28:P28" si="1">SUM(O3:O27)</f>
        <v>58054</v>
      </c>
      <c r="P28" s="4">
        <f t="shared" si="1"/>
        <v>54318</v>
      </c>
      <c r="Q28" s="4">
        <f>SUM(Q3:Q27)</f>
        <v>56334</v>
      </c>
    </row>
    <row r="29" spans="2:17" x14ac:dyDescent="0.35">
      <c r="B29" t="s">
        <v>17</v>
      </c>
      <c r="F29" s="1">
        <v>4202</v>
      </c>
      <c r="G29" s="1">
        <v>4346</v>
      </c>
      <c r="O29" s="4">
        <v>17414</v>
      </c>
      <c r="P29" s="4">
        <v>20415</v>
      </c>
      <c r="Q29" s="4">
        <v>16904</v>
      </c>
    </row>
    <row r="30" spans="2:17" x14ac:dyDescent="0.35">
      <c r="B30" t="s">
        <v>31</v>
      </c>
      <c r="F30" s="1">
        <v>3377</v>
      </c>
      <c r="G30" s="1">
        <v>3253</v>
      </c>
      <c r="O30" s="4">
        <v>15260</v>
      </c>
      <c r="P30" s="4">
        <v>12872</v>
      </c>
      <c r="Q30" s="4">
        <v>14752</v>
      </c>
    </row>
    <row r="31" spans="2:17" x14ac:dyDescent="0.35">
      <c r="B31" t="s">
        <v>18</v>
      </c>
      <c r="F31" s="1">
        <v>1948</v>
      </c>
      <c r="G31" s="1">
        <v>2131</v>
      </c>
      <c r="O31" s="4">
        <v>6510</v>
      </c>
      <c r="P31" s="4">
        <v>7675</v>
      </c>
      <c r="Q31" s="4">
        <v>12791</v>
      </c>
    </row>
    <row r="32" spans="2:17" x14ac:dyDescent="0.35">
      <c r="B32" t="s">
        <v>19</v>
      </c>
      <c r="F32" s="1">
        <v>937</v>
      </c>
      <c r="G32" s="1">
        <v>823</v>
      </c>
      <c r="O32" s="4">
        <v>697</v>
      </c>
      <c r="P32" s="4">
        <v>778</v>
      </c>
      <c r="Q32" s="4">
        <v>2757</v>
      </c>
    </row>
    <row r="33" spans="2:17" x14ac:dyDescent="0.35">
      <c r="B33" t="s">
        <v>20</v>
      </c>
      <c r="F33" s="1">
        <v>0</v>
      </c>
      <c r="G33" s="1">
        <v>-24</v>
      </c>
      <c r="O33" s="4">
        <v>56</v>
      </c>
      <c r="P33" s="4">
        <v>-179</v>
      </c>
      <c r="Q33" s="4">
        <v>-7</v>
      </c>
    </row>
    <row r="34" spans="2:17" x14ac:dyDescent="0.35">
      <c r="B34" t="s">
        <v>21</v>
      </c>
      <c r="F34" s="1">
        <f>F28-SUM(F29:F33)</f>
        <v>3998</v>
      </c>
      <c r="G34" s="1">
        <f>G28-SUM(G29:G33)</f>
        <v>4894</v>
      </c>
      <c r="O34" s="4">
        <v>18117</v>
      </c>
      <c r="P34" s="4">
        <v>12757</v>
      </c>
      <c r="Q34" s="4">
        <v>9137</v>
      </c>
    </row>
    <row r="35" spans="2:17" x14ac:dyDescent="0.35">
      <c r="B35" t="s">
        <v>23</v>
      </c>
      <c r="F35" s="1">
        <v>506</v>
      </c>
      <c r="G35" s="1">
        <v>678</v>
      </c>
      <c r="O35" s="4">
        <v>2044</v>
      </c>
      <c r="P35" s="4">
        <v>1684</v>
      </c>
      <c r="Q35" s="4">
        <v>2160</v>
      </c>
    </row>
    <row r="36" spans="2:17" x14ac:dyDescent="0.35">
      <c r="B36" t="s">
        <v>24</v>
      </c>
      <c r="F36" s="1">
        <v>1</v>
      </c>
      <c r="G36" s="1">
        <v>23</v>
      </c>
      <c r="O36" s="4">
        <v>148</v>
      </c>
      <c r="P36" s="4">
        <v>146</v>
      </c>
      <c r="Q36" s="4">
        <v>21</v>
      </c>
    </row>
    <row r="37" spans="2:17" x14ac:dyDescent="0.35">
      <c r="B37" t="s">
        <v>25</v>
      </c>
      <c r="F37" s="1">
        <v>1345</v>
      </c>
      <c r="G37" s="1">
        <v>2639</v>
      </c>
      <c r="O37" s="4">
        <v>2448</v>
      </c>
      <c r="P37" s="4">
        <v>4677</v>
      </c>
      <c r="Q37" s="4">
        <v>3240</v>
      </c>
    </row>
    <row r="38" spans="2:17" x14ac:dyDescent="0.35">
      <c r="B38" t="s">
        <v>26</v>
      </c>
      <c r="F38" s="1">
        <f>F34-F35-F36-F37</f>
        <v>2146</v>
      </c>
      <c r="G38" s="1">
        <f>G34-G35-G36-G37</f>
        <v>1554</v>
      </c>
      <c r="O38" s="1">
        <f t="shared" ref="O38:P38" si="2">O34-O35-O36-O37</f>
        <v>13477</v>
      </c>
      <c r="P38" s="1">
        <f t="shared" si="2"/>
        <v>6250</v>
      </c>
      <c r="Q38" s="1">
        <f>Q34-Q35-Q36-Q37</f>
        <v>3716</v>
      </c>
    </row>
    <row r="39" spans="2:17" x14ac:dyDescent="0.35">
      <c r="B39" t="s">
        <v>27</v>
      </c>
      <c r="F39" s="1">
        <v>773</v>
      </c>
      <c r="G39" s="1">
        <v>613</v>
      </c>
      <c r="O39" s="4">
        <v>1632</v>
      </c>
      <c r="P39" s="4">
        <v>1377</v>
      </c>
      <c r="Q39" s="4">
        <v>-570</v>
      </c>
    </row>
    <row r="40" spans="2:17" x14ac:dyDescent="0.35">
      <c r="B40" t="s">
        <v>29</v>
      </c>
      <c r="F40" s="1">
        <f>F38-F39</f>
        <v>1373</v>
      </c>
      <c r="G40" s="1">
        <f>G38-G39</f>
        <v>941</v>
      </c>
      <c r="O40" s="1">
        <f t="shared" ref="O40:P40" si="3">O38-O39</f>
        <v>11845</v>
      </c>
      <c r="P40" s="1">
        <f t="shared" si="3"/>
        <v>4873</v>
      </c>
      <c r="Q40" s="1">
        <f>Q38-Q39</f>
        <v>4286</v>
      </c>
    </row>
    <row r="41" spans="2:17" x14ac:dyDescent="0.35">
      <c r="B41" t="s">
        <v>28</v>
      </c>
      <c r="F41" s="1">
        <v>3</v>
      </c>
      <c r="G41" s="1">
        <v>3</v>
      </c>
      <c r="O41" s="1">
        <v>9</v>
      </c>
      <c r="P41" s="1">
        <v>10</v>
      </c>
      <c r="Q41" s="1">
        <v>8</v>
      </c>
    </row>
    <row r="42" spans="2:17" x14ac:dyDescent="0.35">
      <c r="B42" t="s">
        <v>30</v>
      </c>
      <c r="F42" s="1">
        <f>F40-F41</f>
        <v>1370</v>
      </c>
      <c r="G42" s="1">
        <f>G40-G41</f>
        <v>938</v>
      </c>
      <c r="O42" s="1">
        <f t="shared" ref="O42:P42" si="4">O40-O41</f>
        <v>11836</v>
      </c>
      <c r="P42" s="1">
        <f t="shared" si="4"/>
        <v>4863</v>
      </c>
      <c r="Q42" s="1">
        <f>Q40-Q41</f>
        <v>4278</v>
      </c>
    </row>
    <row r="48" spans="2:17" x14ac:dyDescent="0.35">
      <c r="B48" t="s">
        <v>22</v>
      </c>
      <c r="G48" s="3">
        <f>G28/F28-1</f>
        <v>6.6450006914672954E-2</v>
      </c>
      <c r="O48" s="3"/>
      <c r="P48" s="3">
        <f t="shared" ref="P48:Q48" si="5">P28/O28-1</f>
        <v>-6.4353877424466854E-2</v>
      </c>
      <c r="Q48" s="3">
        <f t="shared" si="5"/>
        <v>3.7114768584999513E-2</v>
      </c>
    </row>
  </sheetData>
  <hyperlinks>
    <hyperlink ref="A1" location="Main!A1" display="Main" xr:uid="{B7BEF07D-1566-45EA-A0DA-642C2562C6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2025-09-22T17:26:21Z</dcterms:modified>
</cp:coreProperties>
</file>