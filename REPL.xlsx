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88198752-64EE-4DB4-8591-B7F99B8757E6}" xr6:coauthVersionLast="47" xr6:coauthVersionMax="47" xr10:uidLastSave="{00000000-0000-0000-0000-000000000000}"/>
  <bookViews>
    <workbookView xWindow="23760" yWindow="2300" windowWidth="14120" windowHeight="13750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10" i="1" s="1"/>
</calcChain>
</file>

<file path=xl/sharedStrings.xml><?xml version="1.0" encoding="utf-8"?>
<sst xmlns="http://schemas.openxmlformats.org/spreadsheetml/2006/main" count="24" uniqueCount="20">
  <si>
    <t>Price</t>
  </si>
  <si>
    <t>Shares</t>
  </si>
  <si>
    <t>MC</t>
  </si>
  <si>
    <t>Cash</t>
  </si>
  <si>
    <t>Debt</t>
  </si>
  <si>
    <t>EV</t>
  </si>
  <si>
    <t>1Q2025</t>
  </si>
  <si>
    <t>Name</t>
  </si>
  <si>
    <t>Indication</t>
  </si>
  <si>
    <t>IP</t>
  </si>
  <si>
    <t>Phase</t>
  </si>
  <si>
    <t>Approved</t>
  </si>
  <si>
    <t>MOA</t>
  </si>
  <si>
    <t>Competition</t>
  </si>
  <si>
    <t>RP1</t>
  </si>
  <si>
    <t>RP2</t>
  </si>
  <si>
    <t>I/II</t>
  </si>
  <si>
    <t>RP3</t>
  </si>
  <si>
    <t>CTLA-4 inhib</t>
  </si>
  <si>
    <t>cancer / cell arcinoma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</si>
</sst>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3"/>
  <sheetViews>
    <sheetView tabSelected="1" workbookViewId="0">
      <selection activeCell="C14" sqref="C14"/>
    </sheetView>
  </sheetViews>
  <sheetFormatPr defaultRowHeight="14.5" x14ac:dyDescent="0.35"/>
  <cols>
    <col min="3" max="3" width="19.1796875" bestFit="1" customWidth="1"/>
    <col min="6" max="6" width="11.08984375" bestFit="1" customWidth="1"/>
    <col min="12" max="12" width="9.81640625" bestFit="1" customWidth="1"/>
  </cols>
  <sheetData>
    <row r="3" spans="2:13" x14ac:dyDescent="0.35">
      <c r="B3" s="2" t="s">
        <v>7</v>
      </c>
      <c r="C3" s="2" t="s">
        <v>8</v>
      </c>
      <c r="D3" s="2" t="s">
        <v>11</v>
      </c>
      <c r="E3" s="2" t="s">
        <v>12</v>
      </c>
      <c r="F3" s="2" t="s">
        <v>9</v>
      </c>
    </row>
    <row r="5" spans="2:13" x14ac:dyDescent="0.35">
      <c r="K5" t="s">
        <v>0</v>
      </c>
      <c r="L5">
        <v>5.53</v>
      </c>
    </row>
    <row r="6" spans="2:13" x14ac:dyDescent="0.35">
      <c r="K6" t="s">
        <v>1</v>
      </c>
      <c r="L6">
        <v>77</v>
      </c>
      <c r="M6" t="s">
        <v>6</v>
      </c>
    </row>
    <row r="7" spans="2:13" x14ac:dyDescent="0.35">
      <c r="K7" t="s">
        <v>2</v>
      </c>
      <c r="L7" s="1">
        <f>L5*L6</f>
        <v>425.81</v>
      </c>
    </row>
    <row r="8" spans="2:13" x14ac:dyDescent="0.35">
      <c r="K8" t="s">
        <v>4</v>
      </c>
      <c r="L8">
        <v>45.6</v>
      </c>
      <c r="M8" t="s">
        <v>6</v>
      </c>
    </row>
    <row r="9" spans="2:13" x14ac:dyDescent="0.35">
      <c r="K9" t="s">
        <v>3</v>
      </c>
      <c r="L9" s="1">
        <v>113.5</v>
      </c>
      <c r="M9" t="s">
        <v>6</v>
      </c>
    </row>
    <row r="10" spans="2:13" x14ac:dyDescent="0.35">
      <c r="B10" s="2"/>
      <c r="C10" s="2"/>
      <c r="D10" s="2" t="s">
        <v>10</v>
      </c>
      <c r="E10" s="2" t="s">
        <v>12</v>
      </c>
      <c r="F10" s="2" t="s">
        <v>13</v>
      </c>
      <c r="K10" t="s">
        <v>5</v>
      </c>
      <c r="L10" s="1">
        <f>L7+L8-L9</f>
        <v>357.91</v>
      </c>
    </row>
    <row r="11" spans="2:13" x14ac:dyDescent="0.35">
      <c r="B11" t="s">
        <v>14</v>
      </c>
      <c r="C11" t="s">
        <v>19</v>
      </c>
      <c r="D11" t="s">
        <v>16</v>
      </c>
    </row>
    <row r="12" spans="2:13" x14ac:dyDescent="0.35">
      <c r="B12" t="s">
        <v>15</v>
      </c>
      <c r="D12" t="s">
        <v>16</v>
      </c>
      <c r="E12" t="s">
        <v>18</v>
      </c>
    </row>
    <row r="13" spans="2:13" x14ac:dyDescent="0.35"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357B-BBEF-40C6-BF6D-E876D4385A5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2025-07-30T20:47:08Z</dcterms:modified>
</cp:coreProperties>
</file>