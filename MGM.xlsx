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361F7D89-7E5E-4D8B-B63F-E278F00B631F}" xr6:coauthVersionLast="47" xr6:coauthVersionMax="47" xr10:uidLastSave="{00000000-0000-0000-0000-000000000000}"/>
  <bookViews>
    <workbookView xWindow="17590" yWindow="3490" windowWidth="17350" windowHeight="11460" activeTab="1" xr2:uid="{00000000-000D-0000-FFFF-FFFF00000000}"/>
  </bookViews>
  <sheets>
    <sheet name="mai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2" l="1"/>
  <c r="Z13" i="2" s="1"/>
  <c r="AA13" i="2" s="1"/>
  <c r="AB13" i="2" s="1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CU13" i="2" s="1"/>
  <c r="CV13" i="2" s="1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DJ13" i="2" s="1"/>
  <c r="DK13" i="2" s="1"/>
  <c r="DL13" i="2" s="1"/>
  <c r="DM13" i="2" s="1"/>
  <c r="DN13" i="2" s="1"/>
  <c r="DO13" i="2" s="1"/>
  <c r="DP13" i="2" s="1"/>
  <c r="DQ13" i="2" s="1"/>
  <c r="DR13" i="2" s="1"/>
  <c r="DS13" i="2" s="1"/>
  <c r="DT13" i="2" s="1"/>
  <c r="DU13" i="2" s="1"/>
  <c r="DV13" i="2" s="1"/>
  <c r="DW13" i="2" s="1"/>
  <c r="DX13" i="2" s="1"/>
  <c r="DY13" i="2" s="1"/>
  <c r="DZ13" i="2" s="1"/>
  <c r="EA13" i="2" s="1"/>
  <c r="EB13" i="2" s="1"/>
  <c r="EC13" i="2" s="1"/>
  <c r="X13" i="2"/>
  <c r="R7" i="2"/>
  <c r="S7" i="2" s="1"/>
  <c r="T7" i="2" s="1"/>
  <c r="U7" i="2" s="1"/>
  <c r="V7" i="2" s="1"/>
  <c r="W7" i="2" s="1"/>
  <c r="Q7" i="2"/>
  <c r="P7" i="2"/>
  <c r="O2" i="2"/>
  <c r="M2" i="2"/>
  <c r="N2" i="2"/>
  <c r="N10" i="2" s="1"/>
  <c r="N7" i="2"/>
  <c r="O7" i="2" s="1"/>
  <c r="M7" i="2"/>
  <c r="M10" i="2"/>
  <c r="N5" i="2"/>
  <c r="O5" i="2" s="1"/>
  <c r="M5" i="2"/>
  <c r="M8" i="2" s="1"/>
  <c r="M3" i="2"/>
  <c r="N3" i="2"/>
  <c r="O3" i="2" s="1"/>
  <c r="P3" i="2" s="1"/>
  <c r="Q3" i="2" s="1"/>
  <c r="R3" i="2" s="1"/>
  <c r="S3" i="2" s="1"/>
  <c r="T3" i="2" s="1"/>
  <c r="U3" i="2" s="1"/>
  <c r="V3" i="2" s="1"/>
  <c r="W3" i="2" s="1"/>
  <c r="M4" i="2"/>
  <c r="P2" i="2"/>
  <c r="N8" i="2"/>
  <c r="N4" i="2"/>
  <c r="N1" i="2"/>
  <c r="O1" i="2" s="1"/>
  <c r="P1" i="2" s="1"/>
  <c r="Q1" i="2" s="1"/>
  <c r="R1" i="2" s="1"/>
  <c r="S1" i="2" s="1"/>
  <c r="T1" i="2" s="1"/>
  <c r="U1" i="2" s="1"/>
  <c r="V1" i="2" s="1"/>
  <c r="W1" i="2" s="1"/>
  <c r="M1" i="2"/>
  <c r="J13" i="1"/>
  <c r="J12" i="1"/>
  <c r="J11" i="1"/>
  <c r="L20" i="2"/>
  <c r="L19" i="2"/>
  <c r="L4" i="2"/>
  <c r="G20" i="2"/>
  <c r="F20" i="2"/>
  <c r="E20" i="2"/>
  <c r="D20" i="2"/>
  <c r="C20" i="2"/>
  <c r="E19" i="2"/>
  <c r="D19" i="2"/>
  <c r="C19" i="2"/>
  <c r="G16" i="2"/>
  <c r="F16" i="2"/>
  <c r="E16" i="2"/>
  <c r="D16" i="2"/>
  <c r="G8" i="2"/>
  <c r="F8" i="2"/>
  <c r="E8" i="2"/>
  <c r="G4" i="2"/>
  <c r="F4" i="2"/>
  <c r="E4" i="2"/>
  <c r="D4" i="2"/>
  <c r="C13" i="2"/>
  <c r="C11" i="2"/>
  <c r="C9" i="2"/>
  <c r="C8" i="2"/>
  <c r="C4" i="2"/>
  <c r="J9" i="1"/>
  <c r="J7" i="1"/>
  <c r="J6" i="1"/>
  <c r="J4" i="1"/>
  <c r="O10" i="2" l="1"/>
  <c r="P10" i="2"/>
  <c r="Q2" i="2"/>
  <c r="Q10" i="2" s="1"/>
  <c r="N9" i="2"/>
  <c r="N11" i="2" s="1"/>
  <c r="N12" i="2" s="1"/>
  <c r="N13" i="2" s="1"/>
  <c r="O8" i="2"/>
  <c r="M9" i="2"/>
  <c r="M11" i="2" s="1"/>
  <c r="P4" i="2"/>
  <c r="O4" i="2"/>
  <c r="G9" i="2"/>
  <c r="G11" i="2" s="1"/>
  <c r="G13" i="2" s="1"/>
  <c r="F9" i="2"/>
  <c r="F11" i="2" s="1"/>
  <c r="F13" i="2" s="1"/>
  <c r="E9" i="2"/>
  <c r="E11" i="2" s="1"/>
  <c r="E13" i="2" s="1"/>
  <c r="X20" i="2" l="1"/>
  <c r="X21" i="2" s="1"/>
  <c r="R2" i="2"/>
  <c r="R10" i="2" s="1"/>
  <c r="Q4" i="2"/>
  <c r="M12" i="2"/>
  <c r="M13" i="2" s="1"/>
  <c r="P8" i="2"/>
  <c r="P9" i="2" s="1"/>
  <c r="P11" i="2" s="1"/>
  <c r="O9" i="2"/>
  <c r="O11" i="2" s="1"/>
  <c r="S2" i="2"/>
  <c r="S10" i="2" s="1"/>
  <c r="R4" i="2"/>
  <c r="P12" i="2" l="1"/>
  <c r="P13" i="2" s="1"/>
  <c r="O12" i="2"/>
  <c r="O13" i="2" s="1"/>
  <c r="Q8" i="2"/>
  <c r="Q9" i="2" s="1"/>
  <c r="Q11" i="2" s="1"/>
  <c r="T2" i="2"/>
  <c r="T10" i="2" s="1"/>
  <c r="S4" i="2"/>
  <c r="Q12" i="2" l="1"/>
  <c r="Q13" i="2" s="1"/>
  <c r="R8" i="2"/>
  <c r="R9" i="2" s="1"/>
  <c r="R11" i="2" s="1"/>
  <c r="T4" i="2"/>
  <c r="U2" i="2"/>
  <c r="U10" i="2" s="1"/>
  <c r="R12" i="2" l="1"/>
  <c r="R13" i="2" s="1"/>
  <c r="S8" i="2"/>
  <c r="S9" i="2" s="1"/>
  <c r="S11" i="2" s="1"/>
  <c r="U4" i="2"/>
  <c r="V2" i="2"/>
  <c r="V10" i="2" s="1"/>
  <c r="S12" i="2" l="1"/>
  <c r="S13" i="2" s="1"/>
  <c r="T8" i="2"/>
  <c r="T9" i="2" s="1"/>
  <c r="T11" i="2" s="1"/>
  <c r="W2" i="2"/>
  <c r="V4" i="2"/>
  <c r="W4" i="2" l="1"/>
  <c r="W10" i="2"/>
  <c r="T12" i="2"/>
  <c r="T13" i="2" s="1"/>
  <c r="U8" i="2"/>
  <c r="U9" i="2" s="1"/>
  <c r="U11" i="2" s="1"/>
  <c r="U12" i="2" l="1"/>
  <c r="U13" i="2" s="1"/>
  <c r="W8" i="2"/>
  <c r="W9" i="2" s="1"/>
  <c r="W11" i="2" s="1"/>
  <c r="V8" i="2"/>
  <c r="V9" i="2" s="1"/>
  <c r="V11" i="2" s="1"/>
  <c r="V12" i="2" l="1"/>
  <c r="V13" i="2" s="1"/>
  <c r="W12" i="2"/>
  <c r="W13" i="2" s="1"/>
  <c r="D8" i="2"/>
  <c r="D9" i="2" s="1"/>
  <c r="D11" i="2" s="1"/>
  <c r="D13" i="2" s="1"/>
  <c r="L8" i="2"/>
  <c r="L9" i="2" s="1"/>
  <c r="L11" i="2" s="1"/>
  <c r="L13" i="2" s="1"/>
</calcChain>
</file>

<file path=xl/sharedStrings.xml><?xml version="1.0" encoding="utf-8"?>
<sst xmlns="http://schemas.openxmlformats.org/spreadsheetml/2006/main" count="42" uniqueCount="39">
  <si>
    <t>Price</t>
  </si>
  <si>
    <t>Shares</t>
  </si>
  <si>
    <t>MC</t>
  </si>
  <si>
    <t>Cash</t>
  </si>
  <si>
    <t>Debt</t>
  </si>
  <si>
    <t>EV</t>
  </si>
  <si>
    <t>Q125</t>
  </si>
  <si>
    <t>debt to cash</t>
  </si>
  <si>
    <t>main</t>
  </si>
  <si>
    <t>Q124</t>
  </si>
  <si>
    <t>Q224</t>
  </si>
  <si>
    <t>Q324</t>
  </si>
  <si>
    <t>Q424</t>
  </si>
  <si>
    <t>Revenue</t>
  </si>
  <si>
    <t>COGS</t>
  </si>
  <si>
    <t>Gross Profit</t>
  </si>
  <si>
    <t>SG&amp;A Expense</t>
  </si>
  <si>
    <t>R&amp;D Expense</t>
  </si>
  <si>
    <t>Operating Expenses</t>
  </si>
  <si>
    <t>Operating Income</t>
  </si>
  <si>
    <t>Other Income</t>
  </si>
  <si>
    <t>Pretax Income</t>
  </si>
  <si>
    <t>Income Taxes</t>
  </si>
  <si>
    <t>Net Income</t>
  </si>
  <si>
    <t>Other expenses</t>
  </si>
  <si>
    <t>revenue growth</t>
  </si>
  <si>
    <t>CFFO</t>
  </si>
  <si>
    <t>CAPEX</t>
  </si>
  <si>
    <t>FCF</t>
  </si>
  <si>
    <t>fcf to mc</t>
  </si>
  <si>
    <t>pe</t>
  </si>
  <si>
    <t>price to sales</t>
  </si>
  <si>
    <t>Discount</t>
  </si>
  <si>
    <t>Roic</t>
  </si>
  <si>
    <t>NPV</t>
  </si>
  <si>
    <t>Share</t>
  </si>
  <si>
    <t>Terminal</t>
  </si>
  <si>
    <t>very conservative valuation</t>
  </si>
  <si>
    <t>worst case scenario it is fairly 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</si>
</sst>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5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5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2:K13"/>
  <sheetViews>
    <sheetView workbookViewId="0">
      <selection activeCell="J14" sqref="J14"/>
    </sheetView>
  </sheetViews>
  <sheetFormatPr defaultRowHeight="14.5" x14ac:dyDescent="0.35"/>
  <cols>
    <col min="9" max="9" width="11" bestFit="1" customWidth="1"/>
  </cols>
  <sheetData>
    <row r="2" spans="9:11" x14ac:dyDescent="0.35">
      <c r="I2" t="s">
        <v>0</v>
      </c>
      <c r="J2">
        <v>34.369999999999997</v>
      </c>
    </row>
    <row r="3" spans="9:11" x14ac:dyDescent="0.35">
      <c r="I3" t="s">
        <v>1</v>
      </c>
      <c r="J3">
        <v>294.39999999999998</v>
      </c>
      <c r="K3" t="s">
        <v>6</v>
      </c>
    </row>
    <row r="4" spans="9:11" x14ac:dyDescent="0.35">
      <c r="I4" t="s">
        <v>2</v>
      </c>
      <c r="J4" s="1">
        <f>J2*J3</f>
        <v>10118.527999999998</v>
      </c>
    </row>
    <row r="5" spans="9:11" x14ac:dyDescent="0.35">
      <c r="I5" t="s">
        <v>3</v>
      </c>
      <c r="J5" s="1">
        <v>1731.9</v>
      </c>
      <c r="K5" t="s">
        <v>6</v>
      </c>
    </row>
    <row r="6" spans="9:11" x14ac:dyDescent="0.35">
      <c r="I6" t="s">
        <v>4</v>
      </c>
      <c r="J6" s="1">
        <f>141.7+13225.3</f>
        <v>13367</v>
      </c>
      <c r="K6" t="s">
        <v>6</v>
      </c>
    </row>
    <row r="7" spans="9:11" x14ac:dyDescent="0.35">
      <c r="I7" t="s">
        <v>5</v>
      </c>
      <c r="J7" s="1">
        <f>J4+J6-J5</f>
        <v>21753.627999999997</v>
      </c>
    </row>
    <row r="9" spans="9:11" x14ac:dyDescent="0.35">
      <c r="I9" t="s">
        <v>7</v>
      </c>
      <c r="J9">
        <f>J6/J5</f>
        <v>7.7181130550262713</v>
      </c>
    </row>
    <row r="11" spans="9:11" x14ac:dyDescent="0.35">
      <c r="I11" t="s">
        <v>29</v>
      </c>
      <c r="J11">
        <f>J4/Sheet1!L20</f>
        <v>11.053668341708541</v>
      </c>
    </row>
    <row r="12" spans="9:11" x14ac:dyDescent="0.35">
      <c r="I12" t="s">
        <v>30</v>
      </c>
      <c r="J12">
        <f>J4/Sheet1!L13</f>
        <v>9.5045350366334773</v>
      </c>
    </row>
    <row r="13" spans="9:11" x14ac:dyDescent="0.35">
      <c r="I13" t="s">
        <v>31</v>
      </c>
      <c r="J13">
        <f>J4/Sheet1!L2</f>
        <v>0.5869045561323627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8BB5-7AFE-4055-941B-46432363352E}">
  <dimension ref="A1:EC22"/>
  <sheetViews>
    <sheetView tabSelected="1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N16" sqref="N16"/>
    </sheetView>
  </sheetViews>
  <sheetFormatPr defaultRowHeight="14.5" x14ac:dyDescent="0.35"/>
  <cols>
    <col min="1" max="1" width="6.26953125" customWidth="1"/>
    <col min="2" max="2" width="17.453125" bestFit="1" customWidth="1"/>
    <col min="24" max="24" width="10.453125" bestFit="1" customWidth="1"/>
  </cols>
  <sheetData>
    <row r="1" spans="1:133" x14ac:dyDescent="0.35">
      <c r="A1" t="s">
        <v>8</v>
      </c>
      <c r="C1" t="s">
        <v>9</v>
      </c>
      <c r="D1" t="s">
        <v>10</v>
      </c>
      <c r="E1" t="s">
        <v>11</v>
      </c>
      <c r="F1" t="s">
        <v>12</v>
      </c>
      <c r="G1" t="s">
        <v>6</v>
      </c>
      <c r="L1">
        <v>2024</v>
      </c>
      <c r="M1">
        <f>L1+1</f>
        <v>2025</v>
      </c>
      <c r="N1">
        <f t="shared" ref="N1:W1" si="0">M1+1</f>
        <v>2026</v>
      </c>
      <c r="O1">
        <f t="shared" si="0"/>
        <v>2027</v>
      </c>
      <c r="P1">
        <f t="shared" si="0"/>
        <v>2028</v>
      </c>
      <c r="Q1">
        <f t="shared" si="0"/>
        <v>2029</v>
      </c>
      <c r="R1">
        <f t="shared" si="0"/>
        <v>2030</v>
      </c>
      <c r="S1">
        <f t="shared" si="0"/>
        <v>2031</v>
      </c>
      <c r="T1">
        <f t="shared" si="0"/>
        <v>2032</v>
      </c>
      <c r="U1">
        <f t="shared" si="0"/>
        <v>2033</v>
      </c>
      <c r="V1">
        <f t="shared" si="0"/>
        <v>2034</v>
      </c>
      <c r="W1">
        <f t="shared" si="0"/>
        <v>2035</v>
      </c>
    </row>
    <row r="2" spans="1:133" x14ac:dyDescent="0.35">
      <c r="B2" t="s">
        <v>13</v>
      </c>
      <c r="C2" s="2">
        <v>4383.5</v>
      </c>
      <c r="D2" s="2">
        <v>4327.3999999999996</v>
      </c>
      <c r="E2" s="2">
        <v>4183.1000000000004</v>
      </c>
      <c r="F2" s="2">
        <v>4346.6000000000004</v>
      </c>
      <c r="G2" s="2">
        <v>4277.1000000000004</v>
      </c>
      <c r="L2" s="2">
        <v>17240.5</v>
      </c>
      <c r="M2" s="2">
        <f>L2*1.03</f>
        <v>17757.715</v>
      </c>
      <c r="N2" s="2">
        <f>M2*1.03</f>
        <v>18290.446449999999</v>
      </c>
      <c r="O2" s="2">
        <f>N2*1.03</f>
        <v>18839.159843500001</v>
      </c>
      <c r="P2" s="2">
        <f>O2*1.01</f>
        <v>19027.551441935</v>
      </c>
      <c r="Q2" s="2">
        <f t="shared" ref="Q2:W2" si="1">P2*1.01</f>
        <v>19217.826956354351</v>
      </c>
      <c r="R2" s="2">
        <f t="shared" si="1"/>
        <v>19410.005225917896</v>
      </c>
      <c r="S2" s="2">
        <f t="shared" si="1"/>
        <v>19604.105278177074</v>
      </c>
      <c r="T2" s="2">
        <f t="shared" si="1"/>
        <v>19800.146330958843</v>
      </c>
      <c r="U2" s="2">
        <f t="shared" si="1"/>
        <v>19998.147794268432</v>
      </c>
      <c r="V2" s="2">
        <f t="shared" si="1"/>
        <v>20198.129272211117</v>
      </c>
      <c r="W2" s="2">
        <f t="shared" si="1"/>
        <v>20400.110564933228</v>
      </c>
    </row>
    <row r="3" spans="1:133" x14ac:dyDescent="0.35">
      <c r="B3" t="s">
        <v>14</v>
      </c>
      <c r="C3" s="2">
        <v>2360.8000000000002</v>
      </c>
      <c r="D3" s="2">
        <v>2323.1999999999998</v>
      </c>
      <c r="E3" s="2">
        <v>2315.1999999999998</v>
      </c>
      <c r="F3" s="2">
        <v>2394.4</v>
      </c>
      <c r="G3" s="2">
        <v>2319.9</v>
      </c>
      <c r="L3" s="2">
        <v>9393.5</v>
      </c>
      <c r="M3" s="2">
        <f>L3*1.04</f>
        <v>9769.24</v>
      </c>
      <c r="N3" s="2">
        <f t="shared" ref="N3:P3" si="2">M3*1.03</f>
        <v>10062.3172</v>
      </c>
      <c r="O3" s="2">
        <f t="shared" si="2"/>
        <v>10364.186716</v>
      </c>
      <c r="P3" s="2">
        <f>O3*1.012</f>
        <v>10488.556956592</v>
      </c>
      <c r="Q3" s="2">
        <f t="shared" ref="Q3:W3" si="3">P3*1.012</f>
        <v>10614.419640071104</v>
      </c>
      <c r="R3" s="2">
        <f t="shared" si="3"/>
        <v>10741.792675751958</v>
      </c>
      <c r="S3" s="2">
        <f t="shared" si="3"/>
        <v>10870.694187860981</v>
      </c>
      <c r="T3" s="2">
        <f t="shared" si="3"/>
        <v>11001.142518115314</v>
      </c>
      <c r="U3" s="2">
        <f t="shared" si="3"/>
        <v>11133.156228332697</v>
      </c>
      <c r="V3" s="2">
        <f t="shared" si="3"/>
        <v>11266.75410307269</v>
      </c>
      <c r="W3" s="2">
        <f t="shared" si="3"/>
        <v>11401.955152309562</v>
      </c>
    </row>
    <row r="4" spans="1:133" x14ac:dyDescent="0.35">
      <c r="B4" t="s">
        <v>15</v>
      </c>
      <c r="C4" s="2">
        <f>C2-C3</f>
        <v>2022.6999999999998</v>
      </c>
      <c r="D4" s="2">
        <f t="shared" ref="D4:G4" si="4">D2-D3</f>
        <v>2004.1999999999998</v>
      </c>
      <c r="E4" s="2">
        <f t="shared" si="4"/>
        <v>1867.9000000000005</v>
      </c>
      <c r="F4" s="2">
        <f t="shared" si="4"/>
        <v>1952.2000000000003</v>
      </c>
      <c r="G4" s="2">
        <f t="shared" si="4"/>
        <v>1957.2000000000003</v>
      </c>
      <c r="L4" s="2">
        <f t="shared" ref="L4" si="5">L2-L3</f>
        <v>7847</v>
      </c>
      <c r="M4" s="2">
        <f t="shared" ref="M4" si="6">M2-M3</f>
        <v>7988.4750000000004</v>
      </c>
      <c r="N4" s="2">
        <f t="shared" ref="N4" si="7">N2-N3</f>
        <v>8228.12925</v>
      </c>
      <c r="O4" s="2">
        <f t="shared" ref="O4" si="8">O2-O3</f>
        <v>8474.9731275000013</v>
      </c>
      <c r="P4" s="2">
        <f t="shared" ref="P4" si="9">P2-P3</f>
        <v>8538.9944853430006</v>
      </c>
      <c r="Q4" s="2">
        <f t="shared" ref="Q4" si="10">Q2-Q3</f>
        <v>8603.4073162832465</v>
      </c>
      <c r="R4" s="2">
        <f t="shared" ref="R4" si="11">R2-R3</f>
        <v>8668.2125501659375</v>
      </c>
      <c r="S4" s="2">
        <f t="shared" ref="S4" si="12">S2-S3</f>
        <v>8733.4110903160927</v>
      </c>
      <c r="T4" s="2">
        <f t="shared" ref="T4" si="13">T2-T3</f>
        <v>8799.0038128435299</v>
      </c>
      <c r="U4" s="2">
        <f t="shared" ref="U4" si="14">U2-U3</f>
        <v>8864.9915659357357</v>
      </c>
      <c r="V4" s="2">
        <f t="shared" ref="V4" si="15">V2-V3</f>
        <v>8931.3751691384277</v>
      </c>
      <c r="W4" s="2">
        <f t="shared" ref="W4" si="16">W2-W3</f>
        <v>8998.1554126236661</v>
      </c>
    </row>
    <row r="5" spans="1:133" x14ac:dyDescent="0.35">
      <c r="B5" t="s">
        <v>16</v>
      </c>
      <c r="C5" s="2">
        <v>1324.3</v>
      </c>
      <c r="D5" s="2">
        <v>1335</v>
      </c>
      <c r="E5" s="2">
        <v>1301.8</v>
      </c>
      <c r="F5" s="2">
        <v>1384.3</v>
      </c>
      <c r="G5" s="2">
        <v>1307.2</v>
      </c>
      <c r="L5" s="2">
        <v>5345.5</v>
      </c>
      <c r="M5" s="2">
        <f>L5*1.02</f>
        <v>5452.41</v>
      </c>
      <c r="N5" s="2">
        <f t="shared" ref="N5:W5" si="17">M5*1.02</f>
        <v>5561.4582</v>
      </c>
      <c r="O5" s="2">
        <f t="shared" si="17"/>
        <v>5672.6873640000003</v>
      </c>
      <c r="P5" s="2">
        <v>5672.6873640000003</v>
      </c>
      <c r="Q5" s="2">
        <v>5672.6873640000003</v>
      </c>
      <c r="R5" s="2">
        <v>5672.6873640000003</v>
      </c>
      <c r="S5" s="2">
        <v>5672.6873640000003</v>
      </c>
      <c r="T5" s="2">
        <v>5672.6873640000003</v>
      </c>
      <c r="U5" s="2">
        <v>5672.6873640000003</v>
      </c>
      <c r="V5" s="2">
        <v>5672.6873640000003</v>
      </c>
      <c r="W5" s="2">
        <v>5672.6873640000003</v>
      </c>
    </row>
    <row r="6" spans="1:133" x14ac:dyDescent="0.35">
      <c r="B6" t="s">
        <v>17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 spans="1:133" x14ac:dyDescent="0.35">
      <c r="B7" t="s">
        <v>24</v>
      </c>
      <c r="C7" s="2">
        <v>240</v>
      </c>
      <c r="D7" s="2">
        <v>243.5</v>
      </c>
      <c r="E7" s="2">
        <v>251.3</v>
      </c>
      <c r="F7" s="2">
        <v>276.3</v>
      </c>
      <c r="G7" s="2">
        <v>264.89999999999998</v>
      </c>
      <c r="L7" s="2">
        <v>1011</v>
      </c>
      <c r="M7" s="2">
        <f>L7*1.02</f>
        <v>1031.22</v>
      </c>
      <c r="N7" s="2">
        <f t="shared" ref="N7:W7" si="18">M7*1.02</f>
        <v>1051.8444</v>
      </c>
      <c r="O7" s="2">
        <f t="shared" si="18"/>
        <v>1072.881288</v>
      </c>
      <c r="P7" s="2">
        <f>O7*1.01</f>
        <v>1083.6101008800001</v>
      </c>
      <c r="Q7" s="2">
        <f t="shared" ref="Q7:W7" si="19">P7*1.01</f>
        <v>1094.4462018888</v>
      </c>
      <c r="R7" s="2">
        <f t="shared" si="19"/>
        <v>1105.3906639076881</v>
      </c>
      <c r="S7" s="2">
        <f t="shared" si="19"/>
        <v>1116.4445705467649</v>
      </c>
      <c r="T7" s="2">
        <f t="shared" si="19"/>
        <v>1127.6090162522325</v>
      </c>
      <c r="U7" s="2">
        <f t="shared" si="19"/>
        <v>1138.8851064147548</v>
      </c>
      <c r="V7" s="2">
        <f t="shared" si="19"/>
        <v>1150.2739574789023</v>
      </c>
      <c r="W7" s="2">
        <f t="shared" si="19"/>
        <v>1161.7766970536914</v>
      </c>
    </row>
    <row r="8" spans="1:133" x14ac:dyDescent="0.35">
      <c r="B8" t="s">
        <v>18</v>
      </c>
      <c r="C8" s="2">
        <f>SUM(C5:C7)</f>
        <v>1564.3</v>
      </c>
      <c r="D8" s="2">
        <f t="shared" ref="D8:G8" si="20">SUM(D5:D7)</f>
        <v>1578.5</v>
      </c>
      <c r="E8" s="2">
        <f t="shared" si="20"/>
        <v>1553.1</v>
      </c>
      <c r="F8" s="2">
        <f t="shared" si="20"/>
        <v>1660.6</v>
      </c>
      <c r="G8" s="2">
        <f t="shared" si="20"/>
        <v>1572.1</v>
      </c>
      <c r="L8" s="2">
        <f t="shared" ref="L8" si="21">SUM(L5:L7)</f>
        <v>6356.5</v>
      </c>
      <c r="M8" s="2">
        <f t="shared" ref="M8" si="22">SUM(M5:M7)</f>
        <v>6483.63</v>
      </c>
      <c r="N8" s="2">
        <f t="shared" ref="N8" si="23">SUM(N5:N7)</f>
        <v>6613.3026</v>
      </c>
      <c r="O8" s="2">
        <f t="shared" ref="O8" si="24">SUM(O5:O7)</f>
        <v>6745.5686519999999</v>
      </c>
      <c r="P8" s="2">
        <f t="shared" ref="P8" si="25">SUM(P5:P7)</f>
        <v>6756.2974648800009</v>
      </c>
      <c r="Q8" s="2">
        <f t="shared" ref="Q8" si="26">SUM(Q5:Q7)</f>
        <v>6767.1335658888001</v>
      </c>
      <c r="R8" s="2">
        <f t="shared" ref="R8" si="27">SUM(R5:R7)</f>
        <v>6778.078027907688</v>
      </c>
      <c r="S8" s="2">
        <f t="shared" ref="S8" si="28">SUM(S5:S7)</f>
        <v>6789.1319345467655</v>
      </c>
      <c r="T8" s="2">
        <f t="shared" ref="T8" si="29">SUM(T5:T7)</f>
        <v>6800.2963802522327</v>
      </c>
      <c r="U8" s="2">
        <f t="shared" ref="U8" si="30">SUM(U5:U7)</f>
        <v>6811.5724704147551</v>
      </c>
      <c r="V8" s="2">
        <f t="shared" ref="V8" si="31">SUM(V5:V7)</f>
        <v>6822.9613214789024</v>
      </c>
      <c r="W8" s="2">
        <f t="shared" ref="W8" si="32">SUM(W5:W7)</f>
        <v>6834.4640610536917</v>
      </c>
    </row>
    <row r="9" spans="1:133" x14ac:dyDescent="0.35">
      <c r="B9" t="s">
        <v>19</v>
      </c>
      <c r="C9" s="2">
        <f>C4-C8</f>
        <v>458.39999999999986</v>
      </c>
      <c r="D9" s="2">
        <f t="shared" ref="D9:G9" si="33">D4-D8</f>
        <v>425.69999999999982</v>
      </c>
      <c r="E9" s="2">
        <f t="shared" si="33"/>
        <v>314.80000000000064</v>
      </c>
      <c r="F9" s="2">
        <f t="shared" si="33"/>
        <v>291.60000000000036</v>
      </c>
      <c r="G9" s="2">
        <f t="shared" si="33"/>
        <v>385.10000000000036</v>
      </c>
      <c r="L9" s="2">
        <f t="shared" ref="L9" si="34">L4-L8</f>
        <v>1490.5</v>
      </c>
      <c r="M9" s="2">
        <f t="shared" ref="M9" si="35">M4-M8</f>
        <v>1504.8450000000003</v>
      </c>
      <c r="N9" s="2">
        <f t="shared" ref="N9" si="36">N4-N8</f>
        <v>1614.82665</v>
      </c>
      <c r="O9" s="2">
        <f t="shared" ref="O9" si="37">O4-O8</f>
        <v>1729.4044755000014</v>
      </c>
      <c r="P9" s="2">
        <f t="shared" ref="P9" si="38">P4-P8</f>
        <v>1782.6970204629997</v>
      </c>
      <c r="Q9" s="2">
        <f t="shared" ref="Q9" si="39">Q4-Q8</f>
        <v>1836.2737503944463</v>
      </c>
      <c r="R9" s="2">
        <f t="shared" ref="R9" si="40">R4-R8</f>
        <v>1890.1345222582495</v>
      </c>
      <c r="S9" s="2">
        <f t="shared" ref="S9" si="41">S4-S8</f>
        <v>1944.2791557693272</v>
      </c>
      <c r="T9" s="2">
        <f t="shared" ref="T9" si="42">T4-T8</f>
        <v>1998.7074325912972</v>
      </c>
      <c r="U9" s="2">
        <f t="shared" ref="U9" si="43">U4-U8</f>
        <v>2053.4190955209806</v>
      </c>
      <c r="V9" s="2">
        <f t="shared" ref="V9" si="44">V4-V8</f>
        <v>2108.4138476595253</v>
      </c>
      <c r="W9" s="2">
        <f t="shared" ref="W9" si="45">W4-W8</f>
        <v>2163.6913515699744</v>
      </c>
    </row>
    <row r="10" spans="1:133" x14ac:dyDescent="0.35">
      <c r="B10" t="s">
        <v>20</v>
      </c>
      <c r="C10" s="2">
        <v>-115</v>
      </c>
      <c r="D10" s="2">
        <v>-154.4</v>
      </c>
      <c r="E10" s="2">
        <v>-18.100000000000001</v>
      </c>
      <c r="F10" s="2">
        <v>-85.9</v>
      </c>
      <c r="G10" s="2">
        <v>-118.3</v>
      </c>
      <c r="L10" s="2">
        <v>-373.4</v>
      </c>
      <c r="M10" s="2">
        <f>-(M2*0.03)</f>
        <v>-532.73145</v>
      </c>
      <c r="N10" s="2">
        <f t="shared" ref="N10:W10" si="46">-(N2*0.03)</f>
        <v>-548.71339349999994</v>
      </c>
      <c r="O10" s="2">
        <f t="shared" si="46"/>
        <v>-565.17479530499998</v>
      </c>
      <c r="P10" s="2">
        <f t="shared" si="46"/>
        <v>-570.82654325805004</v>
      </c>
      <c r="Q10" s="2">
        <f t="shared" si="46"/>
        <v>-576.53480869063048</v>
      </c>
      <c r="R10" s="2">
        <f t="shared" si="46"/>
        <v>-582.30015677753681</v>
      </c>
      <c r="S10" s="2">
        <f t="shared" si="46"/>
        <v>-588.12315834531216</v>
      </c>
      <c r="T10" s="2">
        <f t="shared" si="46"/>
        <v>-594.00438992876525</v>
      </c>
      <c r="U10" s="2">
        <f t="shared" si="46"/>
        <v>-599.94443382805298</v>
      </c>
      <c r="V10" s="2">
        <f t="shared" si="46"/>
        <v>-605.94387816633355</v>
      </c>
      <c r="W10" s="2">
        <f t="shared" si="46"/>
        <v>-612.00331694799684</v>
      </c>
    </row>
    <row r="11" spans="1:133" x14ac:dyDescent="0.35">
      <c r="B11" t="s">
        <v>21</v>
      </c>
      <c r="C11" s="2">
        <f>C9+C10</f>
        <v>343.39999999999986</v>
      </c>
      <c r="D11" s="2">
        <f t="shared" ref="D11:G11" si="47">D9+D10</f>
        <v>271.29999999999984</v>
      </c>
      <c r="E11" s="2">
        <f t="shared" si="47"/>
        <v>296.70000000000061</v>
      </c>
      <c r="F11" s="2">
        <f t="shared" si="47"/>
        <v>205.70000000000036</v>
      </c>
      <c r="G11" s="2">
        <f t="shared" si="47"/>
        <v>266.80000000000035</v>
      </c>
      <c r="L11" s="2">
        <f t="shared" ref="L11" si="48">L9+L10</f>
        <v>1117.0999999999999</v>
      </c>
      <c r="M11" s="2">
        <f t="shared" ref="M11" si="49">M9+M10</f>
        <v>972.11355000000026</v>
      </c>
      <c r="N11" s="2">
        <f t="shared" ref="N11" si="50">N9+N10</f>
        <v>1066.1132565</v>
      </c>
      <c r="O11" s="2">
        <f t="shared" ref="O11" si="51">O9+O10</f>
        <v>1164.2296801950015</v>
      </c>
      <c r="P11" s="2">
        <f t="shared" ref="P11" si="52">P9+P10</f>
        <v>1211.8704772049496</v>
      </c>
      <c r="Q11" s="2">
        <f t="shared" ref="Q11" si="53">Q9+Q10</f>
        <v>1259.7389417038157</v>
      </c>
      <c r="R11" s="2">
        <f t="shared" ref="R11" si="54">R9+R10</f>
        <v>1307.8343654807127</v>
      </c>
      <c r="S11" s="2">
        <f t="shared" ref="S11" si="55">S9+S10</f>
        <v>1356.1559974240149</v>
      </c>
      <c r="T11" s="2">
        <f t="shared" ref="T11" si="56">T9+T10</f>
        <v>1404.703042662532</v>
      </c>
      <c r="U11" s="2">
        <f t="shared" ref="U11" si="57">U9+U10</f>
        <v>1453.4746616929276</v>
      </c>
      <c r="V11" s="2">
        <f t="shared" ref="V11" si="58">V9+V10</f>
        <v>1502.4699694931919</v>
      </c>
      <c r="W11" s="2">
        <f t="shared" ref="W11" si="59">W9+W10</f>
        <v>1551.6880346219775</v>
      </c>
    </row>
    <row r="12" spans="1:133" x14ac:dyDescent="0.35">
      <c r="B12" t="s">
        <v>22</v>
      </c>
      <c r="C12" s="2">
        <v>43.7</v>
      </c>
      <c r="D12" s="2">
        <v>-11.6</v>
      </c>
      <c r="E12" s="2">
        <v>52.6</v>
      </c>
      <c r="F12" s="2">
        <v>-32.200000000000003</v>
      </c>
      <c r="G12" s="2">
        <v>40.1</v>
      </c>
      <c r="L12" s="2">
        <v>52.5</v>
      </c>
      <c r="M12" s="2">
        <f>M11*0.05</f>
        <v>48.605677500000013</v>
      </c>
      <c r="N12" s="2">
        <f t="shared" ref="N12:W12" si="60">N11*0.05</f>
        <v>53.305662825000006</v>
      </c>
      <c r="O12" s="2">
        <f t="shared" si="60"/>
        <v>58.21148400975008</v>
      </c>
      <c r="P12" s="2">
        <f t="shared" si="60"/>
        <v>60.59352386024748</v>
      </c>
      <c r="Q12" s="2">
        <f t="shared" si="60"/>
        <v>62.986947085190792</v>
      </c>
      <c r="R12" s="2">
        <f t="shared" si="60"/>
        <v>65.39171827403564</v>
      </c>
      <c r="S12" s="2">
        <f t="shared" si="60"/>
        <v>67.807799871200743</v>
      </c>
      <c r="T12" s="2">
        <f t="shared" si="60"/>
        <v>70.235152133126604</v>
      </c>
      <c r="U12" s="2">
        <f t="shared" si="60"/>
        <v>72.673733084646386</v>
      </c>
      <c r="V12" s="2">
        <f t="shared" si="60"/>
        <v>75.123498474659598</v>
      </c>
      <c r="W12" s="2">
        <f t="shared" si="60"/>
        <v>77.584401731098879</v>
      </c>
    </row>
    <row r="13" spans="1:133" s="2" customFormat="1" x14ac:dyDescent="0.35">
      <c r="A13"/>
      <c r="B13" t="s">
        <v>23</v>
      </c>
      <c r="C13" s="2">
        <f>C11-C12</f>
        <v>299.69999999999987</v>
      </c>
      <c r="D13" s="2">
        <f t="shared" ref="D13:G13" si="61">D11-D12</f>
        <v>282.89999999999986</v>
      </c>
      <c r="E13" s="2">
        <f t="shared" si="61"/>
        <v>244.10000000000062</v>
      </c>
      <c r="F13" s="2">
        <f t="shared" si="61"/>
        <v>237.90000000000038</v>
      </c>
      <c r="G13" s="2">
        <f t="shared" si="61"/>
        <v>226.70000000000036</v>
      </c>
      <c r="H13"/>
      <c r="I13"/>
      <c r="J13"/>
      <c r="K13"/>
      <c r="L13" s="2">
        <f t="shared" ref="L13" si="62">L11-L12</f>
        <v>1064.5999999999999</v>
      </c>
      <c r="M13" s="2">
        <f t="shared" ref="M13" si="63">M11-M12</f>
        <v>923.5078725000003</v>
      </c>
      <c r="N13" s="2">
        <f t="shared" ref="N13" si="64">N11-N12</f>
        <v>1012.807593675</v>
      </c>
      <c r="O13" s="2">
        <f t="shared" ref="O13" si="65">O11-O12</f>
        <v>1106.0181961852513</v>
      </c>
      <c r="P13" s="2">
        <f t="shared" ref="P13" si="66">P11-P12</f>
        <v>1151.2769533447022</v>
      </c>
      <c r="Q13" s="2">
        <f t="shared" ref="Q13" si="67">Q11-Q12</f>
        <v>1196.7519946186248</v>
      </c>
      <c r="R13" s="2">
        <f t="shared" ref="R13" si="68">R11-R12</f>
        <v>1242.4426472066771</v>
      </c>
      <c r="S13" s="2">
        <f t="shared" ref="S13" si="69">S11-S12</f>
        <v>1288.3481975528141</v>
      </c>
      <c r="T13" s="2">
        <f t="shared" ref="T13" si="70">T11-T12</f>
        <v>1334.4678905294054</v>
      </c>
      <c r="U13" s="2">
        <f t="shared" ref="U13" si="71">U11-U12</f>
        <v>1380.8009286082813</v>
      </c>
      <c r="V13" s="2">
        <f t="shared" ref="V13" si="72">V11-V12</f>
        <v>1427.3464710185324</v>
      </c>
      <c r="W13" s="2">
        <f t="shared" ref="W13" si="73">W11-W12</f>
        <v>1474.1036328908785</v>
      </c>
      <c r="X13" s="2">
        <f>W13*1.02</f>
        <v>1503.5857055486961</v>
      </c>
      <c r="Y13" s="2">
        <f t="shared" ref="Y13:CJ13" si="74">X13*1.02</f>
        <v>1533.65741965967</v>
      </c>
      <c r="Z13" s="2">
        <f t="shared" si="74"/>
        <v>1564.3305680528636</v>
      </c>
      <c r="AA13" s="2">
        <f t="shared" si="74"/>
        <v>1595.6171794139209</v>
      </c>
      <c r="AB13" s="2">
        <f t="shared" si="74"/>
        <v>1627.5295230021993</v>
      </c>
      <c r="AC13" s="2">
        <f t="shared" si="74"/>
        <v>1660.0801134622434</v>
      </c>
      <c r="AD13" s="2">
        <f t="shared" si="74"/>
        <v>1693.2817157314882</v>
      </c>
      <c r="AE13" s="2">
        <f t="shared" si="74"/>
        <v>1727.1473500461179</v>
      </c>
      <c r="AF13" s="2">
        <f t="shared" si="74"/>
        <v>1761.6902970470403</v>
      </c>
      <c r="AG13" s="2">
        <f t="shared" si="74"/>
        <v>1796.9241029879811</v>
      </c>
      <c r="AH13" s="2">
        <f t="shared" si="74"/>
        <v>1832.8625850477408</v>
      </c>
      <c r="AI13" s="2">
        <f t="shared" si="74"/>
        <v>1869.5198367486958</v>
      </c>
      <c r="AJ13" s="2">
        <f t="shared" si="74"/>
        <v>1906.9102334836698</v>
      </c>
      <c r="AK13" s="2">
        <f t="shared" si="74"/>
        <v>1945.0484381533433</v>
      </c>
      <c r="AL13" s="2">
        <f t="shared" si="74"/>
        <v>1983.9494069164102</v>
      </c>
      <c r="AM13" s="2">
        <f t="shared" si="74"/>
        <v>2023.6283950547386</v>
      </c>
      <c r="AN13" s="2">
        <f t="shared" si="74"/>
        <v>2064.1009629558334</v>
      </c>
      <c r="AO13" s="2">
        <f t="shared" si="74"/>
        <v>2105.3829822149501</v>
      </c>
      <c r="AP13" s="2">
        <f t="shared" si="74"/>
        <v>2147.4906418592491</v>
      </c>
      <c r="AQ13" s="2">
        <f t="shared" si="74"/>
        <v>2190.4404546964342</v>
      </c>
      <c r="AR13" s="2">
        <f t="shared" si="74"/>
        <v>2234.2492637903629</v>
      </c>
      <c r="AS13" s="2">
        <f t="shared" si="74"/>
        <v>2278.9342490661702</v>
      </c>
      <c r="AT13" s="2">
        <f t="shared" si="74"/>
        <v>2324.5129340474937</v>
      </c>
      <c r="AU13" s="2">
        <f t="shared" si="74"/>
        <v>2371.0031927284435</v>
      </c>
      <c r="AV13" s="2">
        <f t="shared" si="74"/>
        <v>2418.4232565830125</v>
      </c>
      <c r="AW13" s="2">
        <f t="shared" si="74"/>
        <v>2466.7917217146728</v>
      </c>
      <c r="AX13" s="2">
        <f t="shared" si="74"/>
        <v>2516.1275561489665</v>
      </c>
      <c r="AY13" s="2">
        <f t="shared" si="74"/>
        <v>2566.4501072719459</v>
      </c>
      <c r="AZ13" s="2">
        <f t="shared" si="74"/>
        <v>2617.7791094173849</v>
      </c>
      <c r="BA13" s="2">
        <f t="shared" si="74"/>
        <v>2670.1346916057328</v>
      </c>
      <c r="BB13" s="2">
        <f t="shared" si="74"/>
        <v>2723.5373854378477</v>
      </c>
      <c r="BC13" s="2">
        <f t="shared" si="74"/>
        <v>2778.0081331466045</v>
      </c>
      <c r="BD13" s="2">
        <f t="shared" si="74"/>
        <v>2833.5682958095367</v>
      </c>
      <c r="BE13" s="2">
        <f t="shared" si="74"/>
        <v>2890.2396617257277</v>
      </c>
      <c r="BF13" s="2">
        <f t="shared" si="74"/>
        <v>2948.0444549602425</v>
      </c>
      <c r="BG13" s="2">
        <f t="shared" si="74"/>
        <v>3007.0053440594475</v>
      </c>
      <c r="BH13" s="2">
        <f t="shared" si="74"/>
        <v>3067.1454509406362</v>
      </c>
      <c r="BI13" s="2">
        <f t="shared" si="74"/>
        <v>3128.4883599594491</v>
      </c>
      <c r="BJ13" s="2">
        <f t="shared" si="74"/>
        <v>3191.0581271586379</v>
      </c>
      <c r="BK13" s="2">
        <f t="shared" si="74"/>
        <v>3254.8792897018106</v>
      </c>
      <c r="BL13" s="2">
        <f t="shared" si="74"/>
        <v>3319.9768754958468</v>
      </c>
      <c r="BM13" s="2">
        <f t="shared" si="74"/>
        <v>3386.3764130057639</v>
      </c>
      <c r="BN13" s="2">
        <f t="shared" si="74"/>
        <v>3454.1039412658793</v>
      </c>
      <c r="BO13" s="2">
        <f t="shared" si="74"/>
        <v>3523.186020091197</v>
      </c>
      <c r="BP13" s="2">
        <f t="shared" si="74"/>
        <v>3593.649740493021</v>
      </c>
      <c r="BQ13" s="2">
        <f t="shared" si="74"/>
        <v>3665.5227353028813</v>
      </c>
      <c r="BR13" s="2">
        <f t="shared" si="74"/>
        <v>3738.8331900089388</v>
      </c>
      <c r="BS13" s="2">
        <f t="shared" si="74"/>
        <v>3813.6098538091178</v>
      </c>
      <c r="BT13" s="2">
        <f t="shared" si="74"/>
        <v>3889.8820508853</v>
      </c>
      <c r="BU13" s="2">
        <f t="shared" si="74"/>
        <v>3967.6796919030062</v>
      </c>
      <c r="BV13" s="2">
        <f t="shared" si="74"/>
        <v>4047.0332857410663</v>
      </c>
      <c r="BW13" s="2">
        <f t="shared" si="74"/>
        <v>4127.9739514558878</v>
      </c>
      <c r="BX13" s="2">
        <f t="shared" si="74"/>
        <v>4210.5334304850057</v>
      </c>
      <c r="BY13" s="2">
        <f t="shared" si="74"/>
        <v>4294.7440990947061</v>
      </c>
      <c r="BZ13" s="2">
        <f t="shared" si="74"/>
        <v>4380.6389810766004</v>
      </c>
      <c r="CA13" s="2">
        <f t="shared" si="74"/>
        <v>4468.2517606981328</v>
      </c>
      <c r="CB13" s="2">
        <f t="shared" si="74"/>
        <v>4557.6167959120958</v>
      </c>
      <c r="CC13" s="2">
        <f t="shared" si="74"/>
        <v>4648.7691318303378</v>
      </c>
      <c r="CD13" s="2">
        <f t="shared" si="74"/>
        <v>4741.7445144669446</v>
      </c>
      <c r="CE13" s="2">
        <f t="shared" si="74"/>
        <v>4836.5794047562831</v>
      </c>
      <c r="CF13" s="2">
        <f t="shared" si="74"/>
        <v>4933.3109928514086</v>
      </c>
      <c r="CG13" s="2">
        <f t="shared" si="74"/>
        <v>5031.977212708437</v>
      </c>
      <c r="CH13" s="2">
        <f t="shared" si="74"/>
        <v>5132.6167569626059</v>
      </c>
      <c r="CI13" s="2">
        <f t="shared" si="74"/>
        <v>5235.2690921018584</v>
      </c>
      <c r="CJ13" s="2">
        <f t="shared" si="74"/>
        <v>5339.9744739438956</v>
      </c>
      <c r="CK13" s="2">
        <f t="shared" ref="CK13:EC13" si="75">CJ13*1.02</f>
        <v>5446.7739634227737</v>
      </c>
      <c r="CL13" s="2">
        <f t="shared" si="75"/>
        <v>5555.709442691229</v>
      </c>
      <c r="CM13" s="2">
        <f t="shared" si="75"/>
        <v>5666.823631545054</v>
      </c>
      <c r="CN13" s="2">
        <f t="shared" si="75"/>
        <v>5780.160104175955</v>
      </c>
      <c r="CO13" s="2">
        <f t="shared" si="75"/>
        <v>5895.7633062594741</v>
      </c>
      <c r="CP13" s="2">
        <f t="shared" si="75"/>
        <v>6013.6785723846633</v>
      </c>
      <c r="CQ13" s="2">
        <f t="shared" si="75"/>
        <v>6133.9521438323563</v>
      </c>
      <c r="CR13" s="2">
        <f t="shared" si="75"/>
        <v>6256.6311867090035</v>
      </c>
      <c r="CS13" s="2">
        <f t="shared" si="75"/>
        <v>6381.7638104431835</v>
      </c>
      <c r="CT13" s="2">
        <f t="shared" si="75"/>
        <v>6509.3990866520471</v>
      </c>
      <c r="CU13" s="2">
        <f t="shared" si="75"/>
        <v>6639.5870683850881</v>
      </c>
      <c r="CV13" s="2">
        <f t="shared" si="75"/>
        <v>6772.3788097527895</v>
      </c>
      <c r="CW13" s="2">
        <f t="shared" si="75"/>
        <v>6907.8263859478457</v>
      </c>
      <c r="CX13" s="2">
        <f t="shared" si="75"/>
        <v>7045.9829136668031</v>
      </c>
      <c r="CY13" s="2">
        <f t="shared" si="75"/>
        <v>7186.9025719401398</v>
      </c>
      <c r="CZ13" s="2">
        <f t="shared" si="75"/>
        <v>7330.640623378943</v>
      </c>
      <c r="DA13" s="2">
        <f t="shared" si="75"/>
        <v>7477.2534358465218</v>
      </c>
      <c r="DB13" s="2">
        <f t="shared" si="75"/>
        <v>7626.7985045634523</v>
      </c>
      <c r="DC13" s="2">
        <f t="shared" si="75"/>
        <v>7779.3344746547218</v>
      </c>
      <c r="DD13" s="2">
        <f t="shared" si="75"/>
        <v>7934.9211641478159</v>
      </c>
      <c r="DE13" s="2">
        <f t="shared" si="75"/>
        <v>8093.6195874307723</v>
      </c>
      <c r="DF13" s="2">
        <f t="shared" si="75"/>
        <v>8255.4919791793873</v>
      </c>
      <c r="DG13" s="2">
        <f t="shared" si="75"/>
        <v>8420.6018187629743</v>
      </c>
      <c r="DH13" s="2">
        <f t="shared" si="75"/>
        <v>8589.0138551382333</v>
      </c>
      <c r="DI13" s="2">
        <f t="shared" si="75"/>
        <v>8760.7941322409988</v>
      </c>
      <c r="DJ13" s="2">
        <f t="shared" si="75"/>
        <v>8936.0100148858182</v>
      </c>
      <c r="DK13" s="2">
        <f t="shared" si="75"/>
        <v>9114.7302151835356</v>
      </c>
      <c r="DL13" s="2">
        <f t="shared" si="75"/>
        <v>9297.0248194872056</v>
      </c>
      <c r="DM13" s="2">
        <f t="shared" si="75"/>
        <v>9482.9653158769506</v>
      </c>
      <c r="DN13" s="2">
        <f t="shared" si="75"/>
        <v>9672.6246221944893</v>
      </c>
      <c r="DO13" s="2">
        <f t="shared" si="75"/>
        <v>9866.0771146383795</v>
      </c>
      <c r="DP13" s="2">
        <f t="shared" si="75"/>
        <v>10063.398656931147</v>
      </c>
      <c r="DQ13" s="2">
        <f t="shared" si="75"/>
        <v>10264.666630069771</v>
      </c>
      <c r="DR13" s="2">
        <f t="shared" si="75"/>
        <v>10469.959962671166</v>
      </c>
      <c r="DS13" s="2">
        <f t="shared" si="75"/>
        <v>10679.359161924589</v>
      </c>
      <c r="DT13" s="2">
        <f t="shared" si="75"/>
        <v>10892.946345163082</v>
      </c>
      <c r="DU13" s="2">
        <f t="shared" si="75"/>
        <v>11110.805272066344</v>
      </c>
      <c r="DV13" s="2">
        <f t="shared" si="75"/>
        <v>11333.02137750767</v>
      </c>
      <c r="DW13" s="2">
        <f t="shared" si="75"/>
        <v>11559.681805057824</v>
      </c>
      <c r="DX13" s="2">
        <f t="shared" si="75"/>
        <v>11790.87544115898</v>
      </c>
      <c r="DY13" s="2">
        <f t="shared" si="75"/>
        <v>12026.69294998216</v>
      </c>
      <c r="DZ13" s="2">
        <f t="shared" si="75"/>
        <v>12267.226808981803</v>
      </c>
      <c r="EA13" s="2">
        <f t="shared" si="75"/>
        <v>12512.571345161439</v>
      </c>
      <c r="EB13" s="2">
        <f t="shared" si="75"/>
        <v>12762.822772064668</v>
      </c>
      <c r="EC13" s="2">
        <f t="shared" si="75"/>
        <v>13018.079227505961</v>
      </c>
    </row>
    <row r="16" spans="1:133" x14ac:dyDescent="0.35">
      <c r="B16" t="s">
        <v>25</v>
      </c>
      <c r="D16" s="3">
        <f>D2/C2-1</f>
        <v>-1.2797992471769271E-2</v>
      </c>
      <c r="E16" s="3">
        <f>E2/D2-1</f>
        <v>-3.3345657900817893E-2</v>
      </c>
      <c r="F16" s="3">
        <f>F2/E2-1</f>
        <v>3.9085845425641308E-2</v>
      </c>
      <c r="G16" s="3">
        <f>G2/F2-1</f>
        <v>-1.5989509041549721E-2</v>
      </c>
    </row>
    <row r="17" spans="2:26" x14ac:dyDescent="0.35">
      <c r="W17" t="s">
        <v>36</v>
      </c>
      <c r="X17" s="3">
        <v>0.02</v>
      </c>
    </row>
    <row r="18" spans="2:26" x14ac:dyDescent="0.35">
      <c r="B18" t="s">
        <v>26</v>
      </c>
      <c r="C18">
        <v>549.29999999999995</v>
      </c>
      <c r="D18">
        <v>474.2</v>
      </c>
      <c r="E18">
        <v>667.4</v>
      </c>
      <c r="F18">
        <v>671.6</v>
      </c>
      <c r="G18">
        <v>547.1</v>
      </c>
      <c r="L18" s="2">
        <v>2362</v>
      </c>
      <c r="W18" t="s">
        <v>32</v>
      </c>
      <c r="X18" s="3">
        <v>7.0000000000000007E-2</v>
      </c>
    </row>
    <row r="19" spans="2:26" x14ac:dyDescent="0.35">
      <c r="B19" t="s">
        <v>27</v>
      </c>
      <c r="C19">
        <f>172.1+10.5</f>
        <v>182.6</v>
      </c>
      <c r="D19">
        <f>238.2+31.2</f>
        <v>269.39999999999998</v>
      </c>
      <c r="E19">
        <f>336.2+254</f>
        <v>590.20000000000005</v>
      </c>
      <c r="F19">
        <v>0</v>
      </c>
      <c r="G19">
        <v>0</v>
      </c>
      <c r="L19">
        <f>1150.6+296</f>
        <v>1446.6</v>
      </c>
      <c r="W19" t="s">
        <v>33</v>
      </c>
    </row>
    <row r="20" spans="2:26" x14ac:dyDescent="0.35">
      <c r="B20" t="s">
        <v>28</v>
      </c>
      <c r="C20">
        <f>C18-C19</f>
        <v>366.69999999999993</v>
      </c>
      <c r="D20">
        <f t="shared" ref="D20:G20" si="76">D18-D19</f>
        <v>204.8</v>
      </c>
      <c r="E20">
        <f t="shared" si="76"/>
        <v>77.199999999999932</v>
      </c>
      <c r="F20">
        <f t="shared" si="76"/>
        <v>671.6</v>
      </c>
      <c r="G20">
        <f t="shared" si="76"/>
        <v>547.1</v>
      </c>
      <c r="L20" s="2">
        <f>L18-L19</f>
        <v>915.40000000000009</v>
      </c>
      <c r="W20" t="s">
        <v>34</v>
      </c>
      <c r="X20" s="4">
        <f>NPV(X18,L13:EC13)+main!J5-main!J6</f>
        <v>11022.414689633988</v>
      </c>
    </row>
    <row r="21" spans="2:26" x14ac:dyDescent="0.35">
      <c r="W21" t="s">
        <v>35</v>
      </c>
      <c r="X21" s="4">
        <f>X20/main!J3</f>
        <v>37.440267288158928</v>
      </c>
      <c r="Z21" t="s">
        <v>37</v>
      </c>
    </row>
    <row r="22" spans="2:26" x14ac:dyDescent="0.35">
      <c r="Z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2025-05-15T20:30:41Z</dcterms:modified>
</cp:coreProperties>
</file>