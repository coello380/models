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5DEAFC67-F253-4692-91C0-3CD5FCF2F4EB}" xr6:coauthVersionLast="47" xr6:coauthVersionMax="47" xr10:uidLastSave="{00000000-0000-0000-0000-000000000000}"/>
  <bookViews>
    <workbookView xWindow="19180" yWindow="4020" windowWidth="18180" windowHeight="13630" xr2:uid="{00000000-000D-0000-FFFF-FFFF00000000}"/>
  </bookViews>
  <sheets>
    <sheet name="Main" sheetId="1" r:id="rId1"/>
    <sheet name="latozinemab" sheetId="3" r:id="rId2"/>
    <sheet name="Model" sheetId="2" r:id="rId3"/>
    <sheet name="no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6" i="1"/>
  <c r="J4" i="1"/>
</calcChain>
</file>

<file path=xl/sharedStrings.xml><?xml version="1.0" encoding="utf-8"?>
<sst xmlns="http://schemas.openxmlformats.org/spreadsheetml/2006/main" count="67" uniqueCount="62">
  <si>
    <t>Price</t>
  </si>
  <si>
    <t>Shares</t>
  </si>
  <si>
    <t>MC</t>
  </si>
  <si>
    <t>Cash</t>
  </si>
  <si>
    <t>Debt</t>
  </si>
  <si>
    <t>EV</t>
  </si>
  <si>
    <t>Name</t>
  </si>
  <si>
    <t>Indication</t>
  </si>
  <si>
    <t>MOA</t>
  </si>
  <si>
    <t>Approved</t>
  </si>
  <si>
    <t>IP</t>
  </si>
  <si>
    <t>Delaware incorporated, HQ San Francisco</t>
  </si>
  <si>
    <t>Collaborating with GSK</t>
  </si>
  <si>
    <t>on progranulin-elevating monoclonal anitibodies</t>
  </si>
  <si>
    <t>e.g. latozinemab and AL101</t>
  </si>
  <si>
    <t>651.58million deal</t>
  </si>
  <si>
    <t>latozinemab</t>
  </si>
  <si>
    <t>Economics</t>
  </si>
  <si>
    <t>PGRN elevation</t>
  </si>
  <si>
    <t>FTD-GNR</t>
  </si>
  <si>
    <t>Main</t>
  </si>
  <si>
    <t>Indicaiton</t>
  </si>
  <si>
    <t>Clinical Trials</t>
  </si>
  <si>
    <t>Latozinemab (AL001)</t>
  </si>
  <si>
    <t>FDT-GRN</t>
  </si>
  <si>
    <t>Notes</t>
  </si>
  <si>
    <t>does it make sense to elevate PGRN</t>
  </si>
  <si>
    <t>in order to deal with FTD-GRN?</t>
  </si>
  <si>
    <t>fast track and orfan disease designation</t>
  </si>
  <si>
    <t>AL101/GSK4527226</t>
  </si>
  <si>
    <t>GSK 50%</t>
  </si>
  <si>
    <t>Phase 2 n=33 "INFRONT-2" FDT-GRN NCT03987295</t>
  </si>
  <si>
    <t>Phase 3 Continuation Study for Latozinemab n=35 NCT06111014</t>
  </si>
  <si>
    <t>https://pubmed.ncbi.nlm.nih.gov/38356474/</t>
  </si>
  <si>
    <t>https://pubmed.ncbi.nlm.nih.gov/37322482/</t>
  </si>
  <si>
    <t>Phase 3 n=110 "INFRONT-3" FDT-GRN NCT04374136</t>
  </si>
  <si>
    <t>https://www.thelancet.com/journals/lancet/article/PIIS0140-6736(15)00461-4/abstract</t>
  </si>
  <si>
    <t>frontal lobe degeneration is usually associated with tau, TDP43, and FET-related proteins</t>
  </si>
  <si>
    <t>Phase 2; and previous failure of Alector’s neuro platform (AL002 for Alzheimer's).</t>
  </si>
  <si>
    <t>pgrn deficiency vs C9orf72</t>
  </si>
  <si>
    <t>al001 is also being investigated for that later</t>
  </si>
  <si>
    <t>Anti-sortilin antibody</t>
  </si>
  <si>
    <t>CEO: Arnon Rosenthal, Ph.D.</t>
  </si>
  <si>
    <t>Head of Research: Sara Kenkare-Mitra, Ph.D.</t>
  </si>
  <si>
    <t>Phase 1</t>
  </si>
  <si>
    <t>almost half of the participants had an TEAE</t>
  </si>
  <si>
    <t>PRGN is only a primary endpoint in theUS? CDR is another primary it seems</t>
  </si>
  <si>
    <t>only presented graph for FTD-C9orf72 arm? Why?</t>
  </si>
  <si>
    <t>asyntomatic arm, why is it decreasing with time?</t>
  </si>
  <si>
    <t>AL001 60mg/kg q4w vs. placebo</t>
  </si>
  <si>
    <t>CDR® plus NACC FTLD-S</t>
  </si>
  <si>
    <t>is this a valid primary endpoint?</t>
  </si>
  <si>
    <t>comparisson with ALLFTD matched historical controls is not good no?</t>
  </si>
  <si>
    <t>difference in annual change is just due to chance</t>
  </si>
  <si>
    <t>meaning that the effect may be attributed to chance.</t>
  </si>
  <si>
    <t>shows that drecrease is attributable to chance, but more skewed to the positive side.</t>
  </si>
  <si>
    <t>PE is CDR® plus NACC FTLD-SB and PGRN</t>
  </si>
  <si>
    <t>CEO</t>
  </si>
  <si>
    <t>co founded Rinat neuroscience and Annexon</t>
  </si>
  <si>
    <t>not done against placebo</t>
  </si>
  <si>
    <t>Very low chance of success in this field though…</t>
  </si>
  <si>
    <t>small 1% long, stock is basically trading at cash already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</si>
</sst>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216068</xdr:colOff>
      <xdr:row>2</xdr:row>
      <xdr:rowOff>82550</xdr:rowOff>
    </xdr:from>
    <xdr:to>
      <xdr:col>25</xdr:col>
      <xdr:colOff>337027</xdr:colOff>
      <xdr:row>13</xdr:row>
      <xdr:rowOff>89121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434A62-E76C-5C81-C2F6-C891E1E41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8868" y="450850"/>
          <a:ext cx="4388159" cy="2032221"/>
        </a:xfrm>
        <a:prstGeom prst="rect">
          <a:avLst/>
        </a:prstGeom>
      </xdr:spPr>
    </xdr:pic>
    <xdr:clientData/>
  </xdr:twoCellAnchor>
  <xdr:twoCellAnchor editAs="oneCell">
    <xdr:from>
      <xdr:col>2</xdr:col>
      <xdr:colOff>82550</xdr:colOff>
      <xdr:row>11</xdr:row>
      <xdr:rowOff>92370</xdr:rowOff>
    </xdr:from>
    <xdr:to>
      <xdr:col>8</xdr:col>
      <xdr:colOff>489571</xdr:colOff>
      <xdr:row>19</xdr:row>
      <xdr:rowOff>139932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1D6922-5AF7-BDE6-D6D2-0AF06A6A2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1750" y="2118020"/>
          <a:ext cx="4064621" cy="1520762"/>
        </a:xfrm>
        <a:prstGeom prst="rect">
          <a:avLst/>
        </a:prstGeom>
      </xdr:spPr>
    </xdr:pic>
    <xdr:clientData/>
  </xdr:twoCellAnchor>
  <xdr:twoCellAnchor editAs="oneCell">
    <xdr:from>
      <xdr:col>2</xdr:col>
      <xdr:colOff>76199</xdr:colOff>
      <xdr:row>26</xdr:row>
      <xdr:rowOff>60354</xdr:rowOff>
    </xdr:from>
    <xdr:to>
      <xdr:col>6</xdr:col>
      <xdr:colOff>540354</xdr:colOff>
      <xdr:row>32</xdr:row>
      <xdr:rowOff>139947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E282F9-F6B7-E80B-9B34-9087C0AC9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5399" y="4848254"/>
          <a:ext cx="2902555" cy="1184493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33</xdr:row>
      <xdr:rowOff>171450</xdr:rowOff>
    </xdr:from>
    <xdr:to>
      <xdr:col>5</xdr:col>
      <xdr:colOff>593233</xdr:colOff>
      <xdr:row>40</xdr:row>
      <xdr:rowOff>108070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8ED21D-B825-4135-E50C-AF5567AB6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0" y="6248400"/>
          <a:ext cx="2307733" cy="1225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ubmed.ncbi.nlm.nih.gov/3835647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9"/>
  <sheetViews>
    <sheetView tabSelected="1" workbookViewId="0">
      <selection activeCell="B6" sqref="B6"/>
    </sheetView>
  </sheetViews>
  <sheetFormatPr defaultRowHeight="14.5" x14ac:dyDescent="0.35"/>
  <cols>
    <col min="2" max="2" width="11.08984375" bestFit="1" customWidth="1"/>
    <col min="3" max="3" width="9.08984375" bestFit="1" customWidth="1"/>
    <col min="4" max="4" width="13.6328125" bestFit="1" customWidth="1"/>
  </cols>
  <sheetData>
    <row r="2" spans="2:13" x14ac:dyDescent="0.35">
      <c r="B2" t="s">
        <v>6</v>
      </c>
      <c r="C2" t="s">
        <v>7</v>
      </c>
      <c r="D2" t="s">
        <v>8</v>
      </c>
      <c r="E2" t="s">
        <v>17</v>
      </c>
      <c r="F2" t="s">
        <v>9</v>
      </c>
      <c r="G2" t="s">
        <v>10</v>
      </c>
      <c r="I2" t="s">
        <v>0</v>
      </c>
      <c r="J2">
        <v>2.87</v>
      </c>
      <c r="M2" t="s">
        <v>42</v>
      </c>
    </row>
    <row r="3" spans="2:13" x14ac:dyDescent="0.35">
      <c r="B3" s="2" t="s">
        <v>16</v>
      </c>
      <c r="C3" t="s">
        <v>19</v>
      </c>
      <c r="D3" t="s">
        <v>41</v>
      </c>
      <c r="E3" t="s">
        <v>30</v>
      </c>
      <c r="I3" t="s">
        <v>1</v>
      </c>
      <c r="J3">
        <v>99.1</v>
      </c>
      <c r="M3" t="s">
        <v>43</v>
      </c>
    </row>
    <row r="4" spans="2:13" x14ac:dyDescent="0.35">
      <c r="B4" t="s">
        <v>29</v>
      </c>
      <c r="E4" t="s">
        <v>30</v>
      </c>
      <c r="I4" t="s">
        <v>2</v>
      </c>
      <c r="J4">
        <f>J3*J2</f>
        <v>284.41699999999997</v>
      </c>
    </row>
    <row r="5" spans="2:13" x14ac:dyDescent="0.35">
      <c r="I5" t="s">
        <v>3</v>
      </c>
      <c r="J5">
        <v>44</v>
      </c>
      <c r="M5" t="s">
        <v>61</v>
      </c>
    </row>
    <row r="6" spans="2:13" x14ac:dyDescent="0.35">
      <c r="I6" t="s">
        <v>4</v>
      </c>
      <c r="J6">
        <f>21+8.9</f>
        <v>29.9</v>
      </c>
    </row>
    <row r="7" spans="2:13" x14ac:dyDescent="0.35">
      <c r="I7" t="s">
        <v>5</v>
      </c>
      <c r="J7">
        <f>J4-J5+J6</f>
        <v>270.31699999999995</v>
      </c>
    </row>
    <row r="9" spans="2:13" x14ac:dyDescent="0.35">
      <c r="I9" t="s">
        <v>11</v>
      </c>
    </row>
    <row r="11" spans="2:13" x14ac:dyDescent="0.35">
      <c r="I11" t="s">
        <v>12</v>
      </c>
    </row>
    <row r="12" spans="2:13" x14ac:dyDescent="0.35">
      <c r="I12" t="s">
        <v>13</v>
      </c>
    </row>
    <row r="13" spans="2:13" x14ac:dyDescent="0.35">
      <c r="I13" t="s">
        <v>14</v>
      </c>
    </row>
    <row r="15" spans="2:13" x14ac:dyDescent="0.35">
      <c r="I15" t="s">
        <v>15</v>
      </c>
      <c r="J15" s="1">
        <v>45809</v>
      </c>
    </row>
    <row r="17" spans="9:9" x14ac:dyDescent="0.35">
      <c r="I17" t="s">
        <v>37</v>
      </c>
    </row>
    <row r="19" spans="9:9" x14ac:dyDescent="0.35">
      <c r="I19" t="s">
        <v>38</v>
      </c>
    </row>
    <row r="21" spans="9:9" x14ac:dyDescent="0.35">
      <c r="I21" t="s">
        <v>39</v>
      </c>
    </row>
    <row r="22" spans="9:9" x14ac:dyDescent="0.35">
      <c r="I22" t="s">
        <v>40</v>
      </c>
    </row>
    <row r="24" spans="9:9" x14ac:dyDescent="0.35">
      <c r="I24" t="s">
        <v>50</v>
      </c>
    </row>
    <row r="25" spans="9:9" x14ac:dyDescent="0.35">
      <c r="I25" t="s">
        <v>51</v>
      </c>
    </row>
    <row r="28" spans="9:9" x14ac:dyDescent="0.35">
      <c r="I28" t="s">
        <v>57</v>
      </c>
    </row>
    <row r="29" spans="9:9" x14ac:dyDescent="0.35">
      <c r="I29" t="s">
        <v>58</v>
      </c>
    </row>
  </sheetData>
  <hyperlinks>
    <hyperlink ref="B3" location="latozinemab!A1" display="latozinemab" xr:uid="{EAEFA985-A88E-499C-B997-D5B86222272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3DBEF-5E0E-484C-9C4F-58F57A1ACB27}">
  <dimension ref="A1:K63"/>
  <sheetViews>
    <sheetView topLeftCell="A37" workbookViewId="0">
      <selection activeCell="C53" sqref="C53"/>
    </sheetView>
  </sheetViews>
  <sheetFormatPr defaultRowHeight="14.5" x14ac:dyDescent="0.35"/>
  <sheetData>
    <row r="1" spans="1:11" x14ac:dyDescent="0.35">
      <c r="A1" s="2" t="s">
        <v>20</v>
      </c>
    </row>
    <row r="2" spans="1:11" x14ac:dyDescent="0.35">
      <c r="B2" t="s">
        <v>6</v>
      </c>
      <c r="C2" t="s">
        <v>23</v>
      </c>
      <c r="K2" t="s">
        <v>25</v>
      </c>
    </row>
    <row r="3" spans="1:11" x14ac:dyDescent="0.35">
      <c r="B3" t="s">
        <v>21</v>
      </c>
      <c r="C3" t="s">
        <v>24</v>
      </c>
      <c r="K3" t="s">
        <v>26</v>
      </c>
    </row>
    <row r="4" spans="1:11" x14ac:dyDescent="0.35">
      <c r="B4" t="s">
        <v>8</v>
      </c>
      <c r="C4" t="s">
        <v>18</v>
      </c>
      <c r="K4" t="s">
        <v>27</v>
      </c>
    </row>
    <row r="5" spans="1:11" x14ac:dyDescent="0.35">
      <c r="B5" t="s">
        <v>17</v>
      </c>
    </row>
    <row r="6" spans="1:11" x14ac:dyDescent="0.35">
      <c r="B6" t="s">
        <v>22</v>
      </c>
      <c r="K6" t="s">
        <v>28</v>
      </c>
    </row>
    <row r="8" spans="1:11" x14ac:dyDescent="0.35">
      <c r="K8" s="2" t="s">
        <v>33</v>
      </c>
    </row>
    <row r="9" spans="1:11" x14ac:dyDescent="0.35">
      <c r="K9" t="s">
        <v>34</v>
      </c>
    </row>
    <row r="10" spans="1:11" x14ac:dyDescent="0.35">
      <c r="C10" s="3" t="s">
        <v>31</v>
      </c>
      <c r="K10" t="s">
        <v>36</v>
      </c>
    </row>
    <row r="22" spans="3:3" x14ac:dyDescent="0.35">
      <c r="C22" t="s">
        <v>59</v>
      </c>
    </row>
    <row r="23" spans="3:3" x14ac:dyDescent="0.35">
      <c r="C23" t="s">
        <v>47</v>
      </c>
    </row>
    <row r="26" spans="3:3" x14ac:dyDescent="0.35">
      <c r="C26" t="s">
        <v>48</v>
      </c>
    </row>
    <row r="38" spans="3:7" x14ac:dyDescent="0.35">
      <c r="G38" t="s">
        <v>55</v>
      </c>
    </row>
    <row r="42" spans="3:7" x14ac:dyDescent="0.35">
      <c r="C42" t="s">
        <v>52</v>
      </c>
    </row>
    <row r="43" spans="3:7" x14ac:dyDescent="0.35">
      <c r="C43" t="s">
        <v>53</v>
      </c>
    </row>
    <row r="44" spans="3:7" x14ac:dyDescent="0.35">
      <c r="C44" t="s">
        <v>54</v>
      </c>
    </row>
    <row r="47" spans="3:7" x14ac:dyDescent="0.35">
      <c r="C47" s="3" t="s">
        <v>35</v>
      </c>
    </row>
    <row r="48" spans="3:7" x14ac:dyDescent="0.35">
      <c r="C48" t="s">
        <v>46</v>
      </c>
    </row>
    <row r="49" spans="3:3" x14ac:dyDescent="0.35">
      <c r="C49" t="s">
        <v>49</v>
      </c>
    </row>
    <row r="50" spans="3:3" x14ac:dyDescent="0.35">
      <c r="C50" t="s">
        <v>56</v>
      </c>
    </row>
    <row r="52" spans="3:3" x14ac:dyDescent="0.35">
      <c r="C52" t="s">
        <v>60</v>
      </c>
    </row>
    <row r="58" spans="3:3" x14ac:dyDescent="0.35">
      <c r="C58" s="3" t="s">
        <v>32</v>
      </c>
    </row>
    <row r="62" spans="3:3" x14ac:dyDescent="0.35">
      <c r="C62" t="s">
        <v>44</v>
      </c>
    </row>
    <row r="63" spans="3:3" x14ac:dyDescent="0.35">
      <c r="C63" t="s">
        <v>45</v>
      </c>
    </row>
  </sheetData>
  <hyperlinks>
    <hyperlink ref="A1" location="Main!A1" display="Main" xr:uid="{11C5E9BA-F9B5-4F16-B6AD-E02127A0BE3B}"/>
    <hyperlink ref="K8" r:id="rId1" xr:uid="{1369A32F-9F24-4A74-BF90-54F44CA6E353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C524-BB3D-4678-A63C-424029296638}">
  <dimension ref="A1"/>
  <sheetViews>
    <sheetView workbookViewId="0"/>
  </sheetViews>
  <sheetFormatPr defaultRowHeight="14.5" x14ac:dyDescent="0.35"/>
  <sheetData>
    <row r="1" spans="1:1" x14ac:dyDescent="0.35">
      <c r="A1" s="2" t="s">
        <v>20</v>
      </c>
    </row>
  </sheetData>
  <hyperlinks>
    <hyperlink ref="A1" location="Main!A1" display="Main" xr:uid="{4329858B-8311-4F0C-8D59-A13DD541BC9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A2FE-E098-4C07-8B48-471BB7D8E37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latozinemab</vt:lpstr>
      <vt:lpstr>Model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2025-10-06T19:03:56Z</dcterms:modified>
</cp:coreProperties>
</file>