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models\LLY\"/>
    </mc:Choice>
  </mc:AlternateContent>
  <xr:revisionPtr revIDLastSave="0" documentId="13_ncr:1_{D656F76A-8C2F-4CA8-9BD0-95E621ABA188}" xr6:coauthVersionLast="47" xr6:coauthVersionMax="47" xr10:uidLastSave="{00000000-0000-0000-0000-000000000000}"/>
  <bookViews>
    <workbookView xWindow="16000" yWindow="2950" windowWidth="17480" windowHeight="13750" activeTab="1" xr2:uid="{00000000-000D-0000-FFFF-FFFF00000000}"/>
  </bookViews>
  <sheets>
    <sheet name="main" sheetId="1" r:id="rId1"/>
    <sheet name="model" sheetId="2" r:id="rId2"/>
    <sheet name="Mounjaro" sheetId="4" r:id="rId3"/>
    <sheet name="Orforglipron" sheetId="9" r:id="rId4"/>
    <sheet name="ACHIEVE-1" sheetId="7" r:id="rId5"/>
    <sheet name="Zepbound" sheetId="5" r:id="rId6"/>
    <sheet name="Literature" sheetId="8" r:id="rId7"/>
    <sheet name="notes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9" i="2" l="1"/>
  <c r="V39" i="2"/>
  <c r="U39" i="2"/>
  <c r="T39" i="2"/>
  <c r="S39" i="2"/>
  <c r="R39" i="2"/>
  <c r="Q39" i="2"/>
  <c r="V37" i="2"/>
  <c r="U37" i="2"/>
  <c r="H35" i="2"/>
  <c r="H39" i="2" s="1"/>
  <c r="H33" i="2"/>
  <c r="X35" i="2"/>
  <c r="X39" i="2" s="1"/>
  <c r="W38" i="2"/>
  <c r="V38" i="2"/>
  <c r="M38" i="2"/>
  <c r="L38" i="2"/>
  <c r="K38" i="2"/>
  <c r="J38" i="2"/>
  <c r="I38" i="2"/>
  <c r="H38" i="2"/>
  <c r="N38" i="2"/>
  <c r="Y35" i="2" l="1"/>
  <c r="V2" i="2"/>
  <c r="W2" i="2" s="1"/>
  <c r="X2" i="2" s="1"/>
  <c r="Y2" i="2" s="1"/>
  <c r="Z2" i="2" s="1"/>
  <c r="AA2" i="2" s="1"/>
  <c r="AB2" i="2" s="1"/>
  <c r="AC2" i="2" s="1"/>
  <c r="AD2" i="2" s="1"/>
  <c r="AE2" i="2" s="1"/>
  <c r="AF2" i="2" s="1"/>
  <c r="AG2" i="2" s="1"/>
  <c r="AH2" i="2" s="1"/>
  <c r="AI2" i="2" s="1"/>
  <c r="AJ2" i="2" s="1"/>
  <c r="AK2" i="2" s="1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BA2" i="2" s="1"/>
  <c r="BB2" i="2" s="1"/>
  <c r="BC2" i="2" s="1"/>
  <c r="BD2" i="2" s="1"/>
  <c r="BE2" i="2" s="1"/>
  <c r="BF2" i="2" s="1"/>
  <c r="BG2" i="2" s="1"/>
  <c r="BH2" i="2" s="1"/>
  <c r="BI2" i="2" s="1"/>
  <c r="BJ2" i="2" s="1"/>
  <c r="BK2" i="2" s="1"/>
  <c r="BL2" i="2" s="1"/>
  <c r="BM2" i="2" s="1"/>
  <c r="BN2" i="2" s="1"/>
  <c r="BO2" i="2" s="1"/>
  <c r="BP2" i="2" s="1"/>
  <c r="BQ2" i="2" s="1"/>
  <c r="BR2" i="2" s="1"/>
  <c r="BS2" i="2" s="1"/>
  <c r="BT2" i="2" s="1"/>
  <c r="BU2" i="2" s="1"/>
  <c r="BV2" i="2" s="1"/>
  <c r="BW2" i="2" s="1"/>
  <c r="BX2" i="2" s="1"/>
  <c r="BY2" i="2" s="1"/>
  <c r="BZ2" i="2" s="1"/>
  <c r="CA2" i="2" s="1"/>
  <c r="CB2" i="2" s="1"/>
  <c r="CC2" i="2" s="1"/>
  <c r="CD2" i="2" s="1"/>
  <c r="CE2" i="2" s="1"/>
  <c r="CF2" i="2" s="1"/>
  <c r="CG2" i="2" s="1"/>
  <c r="CH2" i="2" s="1"/>
  <c r="CI2" i="2" s="1"/>
  <c r="CJ2" i="2" s="1"/>
  <c r="CK2" i="2" s="1"/>
  <c r="CL2" i="2" s="1"/>
  <c r="CM2" i="2" s="1"/>
  <c r="CN2" i="2" s="1"/>
  <c r="CO2" i="2" s="1"/>
  <c r="CP2" i="2" s="1"/>
  <c r="CQ2" i="2" s="1"/>
  <c r="CR2" i="2" s="1"/>
  <c r="CS2" i="2" s="1"/>
  <c r="CT2" i="2" s="1"/>
  <c r="CU2" i="2" s="1"/>
  <c r="CV2" i="2" s="1"/>
  <c r="CW2" i="2" s="1"/>
  <c r="CX2" i="2" s="1"/>
  <c r="CY2" i="2" s="1"/>
  <c r="CZ2" i="2" s="1"/>
  <c r="DA2" i="2" s="1"/>
  <c r="DB2" i="2" s="1"/>
  <c r="DC2" i="2" s="1"/>
  <c r="DD2" i="2" s="1"/>
  <c r="DE2" i="2" s="1"/>
  <c r="DF2" i="2" s="1"/>
  <c r="C25" i="2"/>
  <c r="C26" i="2" s="1"/>
  <c r="C33" i="2" s="1"/>
  <c r="C35" i="2" s="1"/>
  <c r="G25" i="2"/>
  <c r="G26" i="2" s="1"/>
  <c r="P26" i="2"/>
  <c r="P33" i="2" s="1"/>
  <c r="P35" i="2" s="1"/>
  <c r="Q26" i="2"/>
  <c r="Q33" i="2" s="1"/>
  <c r="Q35" i="2" s="1"/>
  <c r="R26" i="2"/>
  <c r="R33" i="2" s="1"/>
  <c r="S26" i="2"/>
  <c r="S33" i="2" s="1"/>
  <c r="S35" i="2" s="1"/>
  <c r="U26" i="2"/>
  <c r="T26" i="2"/>
  <c r="O7" i="1"/>
  <c r="O6" i="1"/>
  <c r="Y39" i="2" l="1"/>
  <c r="Z35" i="2"/>
  <c r="AA35" i="2" s="1"/>
  <c r="AB35" i="2" s="1"/>
  <c r="AC35" i="2" s="1"/>
  <c r="AD35" i="2" s="1"/>
  <c r="AE35" i="2" s="1"/>
  <c r="AF35" i="2" s="1"/>
  <c r="AG35" i="2" s="1"/>
  <c r="AH35" i="2" s="1"/>
  <c r="AI35" i="2" s="1"/>
  <c r="AJ35" i="2"/>
  <c r="AK35" i="2" s="1"/>
  <c r="AL35" i="2" s="1"/>
  <c r="AM35" i="2" s="1"/>
  <c r="AN35" i="2" s="1"/>
  <c r="AO35" i="2" s="1"/>
  <c r="AP35" i="2" s="1"/>
  <c r="AQ35" i="2" s="1"/>
  <c r="AR35" i="2" s="1"/>
  <c r="AS35" i="2" s="1"/>
  <c r="AT35" i="2" s="1"/>
  <c r="AU35" i="2" s="1"/>
  <c r="AV35" i="2" s="1"/>
  <c r="AW35" i="2" s="1"/>
  <c r="AX35" i="2" s="1"/>
  <c r="AY35" i="2" s="1"/>
  <c r="AZ35" i="2" s="1"/>
  <c r="BA35" i="2" s="1"/>
  <c r="BB35" i="2" s="1"/>
  <c r="BC35" i="2" s="1"/>
  <c r="BD35" i="2" s="1"/>
  <c r="BE35" i="2" s="1"/>
  <c r="BF35" i="2" s="1"/>
  <c r="BG35" i="2" s="1"/>
  <c r="BH35" i="2" s="1"/>
  <c r="BI35" i="2" s="1"/>
  <c r="BJ35" i="2" s="1"/>
  <c r="BK35" i="2" s="1"/>
  <c r="BL35" i="2" s="1"/>
  <c r="BM35" i="2" s="1"/>
  <c r="BN35" i="2" s="1"/>
  <c r="BO35" i="2" s="1"/>
  <c r="BP35" i="2" s="1"/>
  <c r="BQ35" i="2" s="1"/>
  <c r="BR35" i="2" s="1"/>
  <c r="BS35" i="2" s="1"/>
  <c r="BT35" i="2" s="1"/>
  <c r="BU35" i="2" s="1"/>
  <c r="BV35" i="2" s="1"/>
  <c r="BW35" i="2" s="1"/>
  <c r="BX35" i="2" s="1"/>
  <c r="BY35" i="2" s="1"/>
  <c r="BZ35" i="2" s="1"/>
  <c r="CA35" i="2" s="1"/>
  <c r="CB35" i="2" s="1"/>
  <c r="CC35" i="2" s="1"/>
  <c r="CD35" i="2" s="1"/>
  <c r="CE35" i="2" s="1"/>
  <c r="CF35" i="2" s="1"/>
  <c r="CG35" i="2" s="1"/>
  <c r="CH35" i="2" s="1"/>
  <c r="CI35" i="2" s="1"/>
  <c r="CJ35" i="2" s="1"/>
  <c r="CK35" i="2" s="1"/>
  <c r="CL35" i="2" s="1"/>
  <c r="CM35" i="2" s="1"/>
  <c r="CN35" i="2" s="1"/>
  <c r="CO35" i="2" s="1"/>
  <c r="CP35" i="2" s="1"/>
  <c r="CQ35" i="2" s="1"/>
  <c r="CR35" i="2" s="1"/>
  <c r="CS35" i="2" s="1"/>
  <c r="CT35" i="2" s="1"/>
  <c r="CU35" i="2" s="1"/>
  <c r="CV35" i="2" s="1"/>
  <c r="CW35" i="2" s="1"/>
  <c r="CX35" i="2" s="1"/>
  <c r="CY35" i="2" s="1"/>
  <c r="CZ35" i="2" s="1"/>
  <c r="DA35" i="2" s="1"/>
  <c r="DB35" i="2" s="1"/>
  <c r="DC35" i="2" s="1"/>
  <c r="DD35" i="2" s="1"/>
  <c r="DE35" i="2" s="1"/>
  <c r="DF35" i="2" s="1"/>
  <c r="G38" i="2"/>
  <c r="G33" i="2"/>
  <c r="G35" i="2" s="1"/>
  <c r="R38" i="2"/>
  <c r="S38" i="2"/>
  <c r="Q38" i="2"/>
  <c r="R35" i="2"/>
  <c r="U38" i="2"/>
  <c r="T38" i="2"/>
  <c r="U33" i="2"/>
  <c r="U35" i="2" s="1"/>
  <c r="T33" i="2"/>
  <c r="T35" i="2" s="1"/>
  <c r="O9" i="1"/>
  <c r="Z42" i="2" l="1"/>
  <c r="Z4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tc={19FF7A83-C8B5-466D-A2CD-507E452DBD78}</author>
    <author>tc={C41B2DED-35CB-4432-A56A-E987B40CF4FE}</author>
  </authors>
  <commentList>
    <comment ref="V35" authorId="0" shapeId="0" xr:uid="{19FF7A83-C8B5-466D-A2CD-507E452DBD78}">
      <text>
        <t>[Threaded comment]
Your version of Excel allows you to read this threaded comment; however, any edits to it will get removed if the file is opened in a newer version of Excel. Learn more: https://go.microsoft.com/fwlink/?linkid=870924
Comment:
    Facset estimates</t>
      </text>
    </comment>
    <comment ref="W35" authorId="1" shapeId="0" xr:uid="{C41B2DED-35CB-4432-A56A-E987B40CF4F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Facset estimates
</t>
      </text>
    </comment>
  </commentList>
</comments>
</file>

<file path=xl/sharedStrings.xml><?xml version="1.0" encoding="utf-8"?>
<sst xmlns="http://schemas.openxmlformats.org/spreadsheetml/2006/main" count="178" uniqueCount="137">
  <si>
    <t>Price</t>
  </si>
  <si>
    <t>Shares</t>
  </si>
  <si>
    <t>Mcap</t>
  </si>
  <si>
    <t>Debt</t>
  </si>
  <si>
    <t>Cash</t>
  </si>
  <si>
    <t>EV</t>
  </si>
  <si>
    <t>Orforglipron</t>
  </si>
  <si>
    <t>Mirikizumab</t>
  </si>
  <si>
    <t>Donanemab</t>
  </si>
  <si>
    <t>Pirtobrutinib</t>
  </si>
  <si>
    <t>Olomorasib</t>
  </si>
  <si>
    <t xml:space="preserve">Name </t>
  </si>
  <si>
    <t>Indication</t>
  </si>
  <si>
    <t>Economics</t>
  </si>
  <si>
    <t>Approved</t>
  </si>
  <si>
    <t>MOA</t>
  </si>
  <si>
    <t>IP</t>
  </si>
  <si>
    <t>Phase</t>
  </si>
  <si>
    <t>Mechanism</t>
  </si>
  <si>
    <t>Competition</t>
  </si>
  <si>
    <t>III</t>
  </si>
  <si>
    <t>Basaglar</t>
  </si>
  <si>
    <t>Humalog</t>
  </si>
  <si>
    <t>Humulin</t>
  </si>
  <si>
    <t>Jardiance</t>
  </si>
  <si>
    <t>Mounjaro</t>
  </si>
  <si>
    <t>Trucity</t>
  </si>
  <si>
    <t>Zepbound</t>
  </si>
  <si>
    <t>Cyramza</t>
  </si>
  <si>
    <t>Erbitux</t>
  </si>
  <si>
    <t>Jaypirca</t>
  </si>
  <si>
    <t>Retevmo</t>
  </si>
  <si>
    <t>Tyvyt</t>
  </si>
  <si>
    <t>Verzenio</t>
  </si>
  <si>
    <t>Ebglyss</t>
  </si>
  <si>
    <t>Olumiant</t>
  </si>
  <si>
    <t>Omvoh</t>
  </si>
  <si>
    <t>Taltz</t>
  </si>
  <si>
    <t>Emgality</t>
  </si>
  <si>
    <t>Kisunla</t>
  </si>
  <si>
    <t>diabetes</t>
  </si>
  <si>
    <t>type II diabetes</t>
  </si>
  <si>
    <t>concology</t>
  </si>
  <si>
    <t>obesity</t>
  </si>
  <si>
    <t>colorectal cancers</t>
  </si>
  <si>
    <t>For the treatment of adult patients with relapsed or refractory mantle cell lymphoma (MCL) after at least two lines of systemic therapy, including a BTK inhibitor; and for the treatment of adult patients with chronic lymphocytic leukemia or small lymphocytic lymphoma who have received at least two prior lines of therapy, including a BTK inhibitor and a BCL-2 inhibitor</t>
  </si>
  <si>
    <t>metastatic NSCLC</t>
  </si>
  <si>
    <t>MCL</t>
  </si>
  <si>
    <t>Innovent Biologics</t>
  </si>
  <si>
    <t>Hodgkin's lymphoma</t>
  </si>
  <si>
    <t xml:space="preserve">HR+ / HER2 </t>
  </si>
  <si>
    <t>atopic dermatitis</t>
  </si>
  <si>
    <t>Almirall</t>
  </si>
  <si>
    <t>Incyte Corporation</t>
  </si>
  <si>
    <t>arthiritis</t>
  </si>
  <si>
    <t>ulcerative colitis</t>
  </si>
  <si>
    <t>plaque psoriasis</t>
  </si>
  <si>
    <t>pain</t>
  </si>
  <si>
    <t>Alzheimer's</t>
  </si>
  <si>
    <t>Review</t>
  </si>
  <si>
    <t>Imlunestrant</t>
  </si>
  <si>
    <t>people e,ployed in pharmaceutical research</t>
  </si>
  <si>
    <t>main focus of R&amp;D is in Oncology, immunology, metabolism, and neuroscience</t>
  </si>
  <si>
    <t>Main</t>
  </si>
  <si>
    <t>Trulicity</t>
  </si>
  <si>
    <t>Baqsimi</t>
  </si>
  <si>
    <t>Other products</t>
  </si>
  <si>
    <t>Revenue</t>
  </si>
  <si>
    <t>Zyprexa</t>
  </si>
  <si>
    <t>Brand name</t>
  </si>
  <si>
    <t>Generic Name</t>
  </si>
  <si>
    <t>Clinical Trials</t>
  </si>
  <si>
    <t>Type II diabetes</t>
  </si>
  <si>
    <t>Generic</t>
  </si>
  <si>
    <t>GLP-1/GIP</t>
  </si>
  <si>
    <t>Tirzepatide, LY3298176</t>
  </si>
  <si>
    <t>NCT03375463</t>
  </si>
  <si>
    <t>NCT06745128</t>
  </si>
  <si>
    <t>NCT06918405</t>
  </si>
  <si>
    <t>Primary Endpoint</t>
  </si>
  <si>
    <t>Orforglipron, an Oral Small-Molecule GLP-1 Receptor Agonist, in Early Type 2 Diabetes</t>
  </si>
  <si>
    <t>Rosenstock et al. 2025 DOI: 10.1056/NEJMoa2505669</t>
  </si>
  <si>
    <t>Trial</t>
  </si>
  <si>
    <t xml:space="preserve"> ACHIEVE-1 NCT05971940</t>
  </si>
  <si>
    <t>Interventions</t>
  </si>
  <si>
    <t>A1C reduction from baseline of 8.0%</t>
  </si>
  <si>
    <t>Placebo</t>
  </si>
  <si>
    <t>CT First record</t>
  </si>
  <si>
    <t>n</t>
  </si>
  <si>
    <t>Orforglipron achieved clinically meaningful reductions in A1Z and body weight</t>
  </si>
  <si>
    <t>over 40 weeks in adults with type 2 diabetes.</t>
  </si>
  <si>
    <t>3mg orforglipron</t>
  </si>
  <si>
    <t>12mg orforglipron</t>
  </si>
  <si>
    <t>36mg orforglipron</t>
  </si>
  <si>
    <t>p&lt;0.001</t>
  </si>
  <si>
    <t>mean diff placebo</t>
  </si>
  <si>
    <t>Mild to moderate gastrointestinal events during dose escalation</t>
  </si>
  <si>
    <t>Brand</t>
  </si>
  <si>
    <t>Type 2 diabetes / obesety</t>
  </si>
  <si>
    <t>oral GLP-1</t>
  </si>
  <si>
    <t>Phase III "ACHIEVE-1" NTC:05971940</t>
  </si>
  <si>
    <t>ACHIEVE global clinical development</t>
  </si>
  <si>
    <t>COGS</t>
  </si>
  <si>
    <t>R&amp;D</t>
  </si>
  <si>
    <t>Marketing &amp; SG&amp;A</t>
  </si>
  <si>
    <t>accquired in-progress R&amp;D</t>
  </si>
  <si>
    <t>Other net, (income) expense</t>
  </si>
  <si>
    <t>Income before income taxes</t>
  </si>
  <si>
    <t>Income taxes</t>
  </si>
  <si>
    <t>Net Income</t>
  </si>
  <si>
    <t>EPS</t>
  </si>
  <si>
    <t>Forteo</t>
  </si>
  <si>
    <t>Cialis</t>
  </si>
  <si>
    <t>Alimta</t>
  </si>
  <si>
    <t>COVID-19 antibodies</t>
  </si>
  <si>
    <t>Cymbalta</t>
  </si>
  <si>
    <t>Trajenta</t>
  </si>
  <si>
    <t>Special charges</t>
  </si>
  <si>
    <t>1Q2025</t>
  </si>
  <si>
    <t>2Q2025</t>
  </si>
  <si>
    <t>1Q2024</t>
  </si>
  <si>
    <t>2Q2024</t>
  </si>
  <si>
    <t>3Q2024</t>
  </si>
  <si>
    <t>4Q2024</t>
  </si>
  <si>
    <t>Discount</t>
  </si>
  <si>
    <t>Terminal</t>
  </si>
  <si>
    <t>NPV</t>
  </si>
  <si>
    <t>Share</t>
  </si>
  <si>
    <t>3Q2025</t>
  </si>
  <si>
    <t>4Q2025</t>
  </si>
  <si>
    <t>1Q2026</t>
  </si>
  <si>
    <t>2Q2026</t>
  </si>
  <si>
    <t>3Q2026</t>
  </si>
  <si>
    <t>4Q2026</t>
  </si>
  <si>
    <t>Revenue y/y</t>
  </si>
  <si>
    <t>NI y/y</t>
  </si>
  <si>
    <t>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</si>
</sst>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4" fontId="0" fillId="0" borderId="0" xfId="0" applyNumberFormat="1"/>
    <xf numFmtId="0" fontId="0" fillId="0" borderId="1" xfId="0" applyBorder="1"/>
    <xf numFmtId="9" fontId="0" fillId="0" borderId="0" xfId="0" applyNumberFormat="1"/>
    <xf numFmtId="0" fontId="2" fillId="0" borderId="0" xfId="1"/>
    <xf numFmtId="0" fontId="1" fillId="0" borderId="0" xfId="0" applyFont="1"/>
    <xf numFmtId="0" fontId="3" fillId="0" borderId="0" xfId="0" applyFont="1"/>
    <xf numFmtId="14" fontId="0" fillId="0" borderId="0" xfId="0" applyNumberFormat="1"/>
    <xf numFmtId="3" fontId="0" fillId="0" borderId="0" xfId="0" applyNumberFormat="1"/>
    <xf numFmtId="3" fontId="1" fillId="0" borderId="0" xfId="0" applyNumberFormat="1" applyFont="1"/>
    <xf numFmtId="8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6350</xdr:colOff>
      <xdr:row>1</xdr:row>
      <xdr:rowOff>82550</xdr:rowOff>
    </xdr:from>
    <xdr:to>
      <xdr:col>21</xdr:col>
      <xdr:colOff>6350</xdr:colOff>
      <xdr:row>43</xdr:row>
      <xdr:rowOff>44450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D36B665-4AF0-2B5B-006C-C7A30029C9CB}"/>
            </a:ext>
          </a:extLst>
        </xdr:cNvPr>
        <xdr:cNvCxnSpPr/>
      </xdr:nvCxnSpPr>
      <xdr:spPr>
        <a:xfrm>
          <a:off x="9671050" y="266700"/>
          <a:ext cx="0" cy="76962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duardo Medina Resende de Oliveira" id="{B3E16F65-E7F6-4BD0-9B90-4E4A91A8BF18}" userId="3cf79b8f9dac89c7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35" dT="2025-08-05T20:41:53.14" personId="{B3E16F65-E7F6-4BD0-9B90-4E4A91A8BF18}" id="{19FF7A83-C8B5-466D-A2CD-507E452DBD78}">
    <text>Facset estimates</text>
  </threadedComment>
  <threadedComment ref="W35" dT="2025-08-05T20:41:39.47" personId="{B3E16F65-E7F6-4BD0-9B90-4E4A91A8BF18}" id="{C41B2DED-35CB-4432-A56A-E987B40CF4FE}">
    <text xml:space="preserve">Facset estimates
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30"/>
  <sheetViews>
    <sheetView topLeftCell="E1" workbookViewId="0">
      <selection activeCell="O7" sqref="O7:O8"/>
    </sheetView>
  </sheetViews>
  <sheetFormatPr defaultRowHeight="14.5" x14ac:dyDescent="0.35"/>
  <cols>
    <col min="1" max="1" width="5.90625" customWidth="1"/>
    <col min="2" max="2" width="11.36328125" bestFit="1" customWidth="1"/>
    <col min="3" max="3" width="18.453125" bestFit="1" customWidth="1"/>
    <col min="4" max="4" width="16.453125" bestFit="1" customWidth="1"/>
    <col min="5" max="5" width="9" bestFit="1" customWidth="1"/>
    <col min="6" max="6" width="10.453125" bestFit="1" customWidth="1"/>
    <col min="7" max="7" width="11.08984375" bestFit="1" customWidth="1"/>
    <col min="15" max="15" width="9.81640625" style="1" bestFit="1" customWidth="1"/>
  </cols>
  <sheetData>
    <row r="1" spans="2:15" x14ac:dyDescent="0.35">
      <c r="O1"/>
    </row>
    <row r="2" spans="2:15" x14ac:dyDescent="0.35"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O2"/>
    </row>
    <row r="3" spans="2:15" x14ac:dyDescent="0.35">
      <c r="B3" t="s">
        <v>21</v>
      </c>
      <c r="C3" t="s">
        <v>40</v>
      </c>
      <c r="D3" s="3">
        <v>1</v>
      </c>
      <c r="O3"/>
    </row>
    <row r="4" spans="2:15" x14ac:dyDescent="0.35">
      <c r="B4" t="s">
        <v>22</v>
      </c>
      <c r="C4" t="s">
        <v>40</v>
      </c>
      <c r="D4" s="3">
        <v>1</v>
      </c>
      <c r="N4" t="s">
        <v>0</v>
      </c>
      <c r="O4">
        <v>777</v>
      </c>
    </row>
    <row r="5" spans="2:15" x14ac:dyDescent="0.35">
      <c r="B5" t="s">
        <v>23</v>
      </c>
      <c r="C5" t="s">
        <v>40</v>
      </c>
      <c r="D5" s="3">
        <v>0.5</v>
      </c>
      <c r="N5" t="s">
        <v>1</v>
      </c>
      <c r="O5">
        <v>946</v>
      </c>
    </row>
    <row r="6" spans="2:15" x14ac:dyDescent="0.35">
      <c r="B6" t="s">
        <v>24</v>
      </c>
      <c r="C6" t="s">
        <v>41</v>
      </c>
      <c r="D6" s="3">
        <v>1</v>
      </c>
      <c r="N6" t="s">
        <v>2</v>
      </c>
      <c r="O6" s="1">
        <f>O4*O5</f>
        <v>735042</v>
      </c>
    </row>
    <row r="7" spans="2:15" x14ac:dyDescent="0.35">
      <c r="B7" s="4" t="s">
        <v>25</v>
      </c>
      <c r="C7" t="s">
        <v>41</v>
      </c>
      <c r="G7">
        <v>2036</v>
      </c>
      <c r="N7" t="s">
        <v>3</v>
      </c>
      <c r="O7" s="1">
        <f>18320.8+6904.5</f>
        <v>25225.3</v>
      </c>
    </row>
    <row r="8" spans="2:15" x14ac:dyDescent="0.35">
      <c r="B8" t="s">
        <v>26</v>
      </c>
      <c r="C8" t="s">
        <v>40</v>
      </c>
      <c r="N8" t="s">
        <v>4</v>
      </c>
      <c r="O8" s="1">
        <v>25727</v>
      </c>
    </row>
    <row r="9" spans="2:15" x14ac:dyDescent="0.35">
      <c r="B9" s="4" t="s">
        <v>27</v>
      </c>
      <c r="C9" t="s">
        <v>43</v>
      </c>
      <c r="N9" t="s">
        <v>5</v>
      </c>
      <c r="O9" s="1">
        <f>O6+O7-O8</f>
        <v>734540.3</v>
      </c>
    </row>
    <row r="10" spans="2:15" x14ac:dyDescent="0.35">
      <c r="B10" t="s">
        <v>28</v>
      </c>
      <c r="C10" t="s">
        <v>42</v>
      </c>
      <c r="N10" t="s">
        <v>136</v>
      </c>
      <c r="O10" s="1">
        <v>45876</v>
      </c>
    </row>
    <row r="11" spans="2:15" x14ac:dyDescent="0.35">
      <c r="B11" t="s">
        <v>29</v>
      </c>
      <c r="C11" t="s">
        <v>44</v>
      </c>
    </row>
    <row r="12" spans="2:15" x14ac:dyDescent="0.35">
      <c r="B12" t="s">
        <v>30</v>
      </c>
      <c r="C12" t="s">
        <v>47</v>
      </c>
      <c r="N12">
        <v>11000</v>
      </c>
      <c r="O12" s="1" t="s">
        <v>61</v>
      </c>
    </row>
    <row r="13" spans="2:15" x14ac:dyDescent="0.35">
      <c r="B13" t="s">
        <v>31</v>
      </c>
      <c r="C13" t="s">
        <v>46</v>
      </c>
    </row>
    <row r="14" spans="2:15" x14ac:dyDescent="0.35">
      <c r="B14" t="s">
        <v>32</v>
      </c>
      <c r="C14" t="s">
        <v>49</v>
      </c>
      <c r="D14" t="s">
        <v>48</v>
      </c>
      <c r="N14" t="s">
        <v>62</v>
      </c>
    </row>
    <row r="15" spans="2:15" x14ac:dyDescent="0.35">
      <c r="B15" t="s">
        <v>33</v>
      </c>
      <c r="C15" t="s">
        <v>50</v>
      </c>
    </row>
    <row r="16" spans="2:15" x14ac:dyDescent="0.35">
      <c r="B16" t="s">
        <v>34</v>
      </c>
      <c r="C16" t="s">
        <v>51</v>
      </c>
      <c r="D16" t="s">
        <v>52</v>
      </c>
    </row>
    <row r="17" spans="2:7" x14ac:dyDescent="0.35">
      <c r="B17" t="s">
        <v>35</v>
      </c>
      <c r="C17" t="s">
        <v>54</v>
      </c>
      <c r="D17" t="s">
        <v>53</v>
      </c>
    </row>
    <row r="18" spans="2:7" x14ac:dyDescent="0.35">
      <c r="B18" t="s">
        <v>36</v>
      </c>
      <c r="C18" t="s">
        <v>55</v>
      </c>
    </row>
    <row r="19" spans="2:7" x14ac:dyDescent="0.35">
      <c r="B19" t="s">
        <v>37</v>
      </c>
      <c r="C19" t="s">
        <v>56</v>
      </c>
    </row>
    <row r="20" spans="2:7" x14ac:dyDescent="0.35">
      <c r="B20" t="s">
        <v>38</v>
      </c>
      <c r="C20" t="s">
        <v>57</v>
      </c>
    </row>
    <row r="21" spans="2:7" x14ac:dyDescent="0.35">
      <c r="B21" t="s">
        <v>39</v>
      </c>
      <c r="C21" t="s">
        <v>58</v>
      </c>
    </row>
    <row r="24" spans="2:7" x14ac:dyDescent="0.35">
      <c r="B24" s="2"/>
      <c r="C24" s="2"/>
      <c r="D24" s="2"/>
      <c r="E24" s="2" t="s">
        <v>17</v>
      </c>
      <c r="F24" s="2" t="s">
        <v>18</v>
      </c>
      <c r="G24" s="2" t="s">
        <v>19</v>
      </c>
    </row>
    <row r="25" spans="2:7" x14ac:dyDescent="0.35">
      <c r="B25" s="4" t="s">
        <v>6</v>
      </c>
      <c r="E25" t="s">
        <v>20</v>
      </c>
    </row>
    <row r="26" spans="2:7" x14ac:dyDescent="0.35">
      <c r="B26" t="s">
        <v>7</v>
      </c>
    </row>
    <row r="27" spans="2:7" x14ac:dyDescent="0.35">
      <c r="B27" t="s">
        <v>8</v>
      </c>
      <c r="E27" t="s">
        <v>59</v>
      </c>
    </row>
    <row r="28" spans="2:7" x14ac:dyDescent="0.35">
      <c r="B28" t="s">
        <v>9</v>
      </c>
    </row>
    <row r="29" spans="2:7" x14ac:dyDescent="0.35">
      <c r="B29" t="s">
        <v>10</v>
      </c>
      <c r="E29" t="s">
        <v>20</v>
      </c>
    </row>
    <row r="30" spans="2:7" x14ac:dyDescent="0.35">
      <c r="B30" t="s">
        <v>60</v>
      </c>
      <c r="E30" t="s">
        <v>59</v>
      </c>
    </row>
  </sheetData>
  <hyperlinks>
    <hyperlink ref="B7" location="Mounjaro!A1" display="Mounjaro" xr:uid="{E0D14176-B581-40A2-8305-B707BFC2FD44}"/>
    <hyperlink ref="B9" location="Zepbound!A1" display="Zepbound" xr:uid="{F4A6A477-B001-492D-AEA5-7A027ED8BC29}"/>
    <hyperlink ref="B25" location="Orforglipron!A1" display="Orforglipron" xr:uid="{1CF250B6-1761-4BD8-9851-295FBBBAEF1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D92F2-F68A-4A31-85A1-AFC0CDEF730C}">
  <dimension ref="A2:DF43"/>
  <sheetViews>
    <sheetView tabSelected="1" zoomScale="130" zoomScaleNormal="130" workbookViewId="0">
      <pane xSplit="2" ySplit="2" topLeftCell="R27" activePane="bottomRight" state="frozen"/>
      <selection pane="topRight" activeCell="C1" sqref="C1"/>
      <selection pane="bottomLeft" activeCell="A3" sqref="A3"/>
      <selection pane="bottomRight" activeCell="Z35" sqref="Z35"/>
    </sheetView>
  </sheetViews>
  <sheetFormatPr defaultRowHeight="14.5" x14ac:dyDescent="0.35"/>
  <cols>
    <col min="1" max="1" width="5.81640625" customWidth="1"/>
    <col min="2" max="2" width="24.7265625" bestFit="1" customWidth="1"/>
    <col min="3" max="7" width="7.1796875" bestFit="1" customWidth="1"/>
    <col min="8" max="9" width="7.1796875" customWidth="1"/>
    <col min="10" max="10" width="7.1796875" bestFit="1" customWidth="1"/>
    <col min="11" max="14" width="7.1796875" customWidth="1"/>
    <col min="15" max="15" width="24.7265625" customWidth="1"/>
    <col min="16" max="16" width="6.81640625" bestFit="1" customWidth="1"/>
    <col min="17" max="17" width="7.453125" bestFit="1" customWidth="1"/>
    <col min="18" max="20" width="6.81640625" bestFit="1" customWidth="1"/>
    <col min="21" max="21" width="7.81640625" customWidth="1"/>
    <col min="26" max="26" width="11.81640625" bestFit="1" customWidth="1"/>
  </cols>
  <sheetData>
    <row r="2" spans="1:110" x14ac:dyDescent="0.35">
      <c r="A2" s="4" t="s">
        <v>63</v>
      </c>
      <c r="C2" t="s">
        <v>120</v>
      </c>
      <c r="D2" t="s">
        <v>121</v>
      </c>
      <c r="E2" t="s">
        <v>122</v>
      </c>
      <c r="F2" t="s">
        <v>123</v>
      </c>
      <c r="G2" t="s">
        <v>118</v>
      </c>
      <c r="H2" t="s">
        <v>119</v>
      </c>
      <c r="I2" t="s">
        <v>128</v>
      </c>
      <c r="J2" t="s">
        <v>129</v>
      </c>
      <c r="K2" t="s">
        <v>130</v>
      </c>
      <c r="L2" t="s">
        <v>131</v>
      </c>
      <c r="M2" t="s">
        <v>132</v>
      </c>
      <c r="N2" t="s">
        <v>133</v>
      </c>
      <c r="P2">
        <v>2019</v>
      </c>
      <c r="Q2">
        <v>2020</v>
      </c>
      <c r="R2">
        <v>2021</v>
      </c>
      <c r="S2">
        <v>2022</v>
      </c>
      <c r="T2">
        <v>2023</v>
      </c>
      <c r="U2">
        <v>2024</v>
      </c>
      <c r="V2">
        <f>U2+1</f>
        <v>2025</v>
      </c>
      <c r="W2">
        <f t="shared" ref="W2:CH2" si="0">V2+1</f>
        <v>2026</v>
      </c>
      <c r="X2">
        <f t="shared" si="0"/>
        <v>2027</v>
      </c>
      <c r="Y2">
        <f t="shared" si="0"/>
        <v>2028</v>
      </c>
      <c r="Z2">
        <f t="shared" si="0"/>
        <v>2029</v>
      </c>
      <c r="AA2">
        <f t="shared" si="0"/>
        <v>2030</v>
      </c>
      <c r="AB2">
        <f t="shared" si="0"/>
        <v>2031</v>
      </c>
      <c r="AC2">
        <f t="shared" si="0"/>
        <v>2032</v>
      </c>
      <c r="AD2">
        <f t="shared" si="0"/>
        <v>2033</v>
      </c>
      <c r="AE2">
        <f t="shared" si="0"/>
        <v>2034</v>
      </c>
      <c r="AF2">
        <f t="shared" si="0"/>
        <v>2035</v>
      </c>
      <c r="AG2">
        <f t="shared" si="0"/>
        <v>2036</v>
      </c>
      <c r="AH2">
        <f t="shared" si="0"/>
        <v>2037</v>
      </c>
      <c r="AI2">
        <f t="shared" si="0"/>
        <v>2038</v>
      </c>
      <c r="AJ2">
        <f t="shared" si="0"/>
        <v>2039</v>
      </c>
      <c r="AK2">
        <f t="shared" si="0"/>
        <v>2040</v>
      </c>
      <c r="AL2">
        <f t="shared" si="0"/>
        <v>2041</v>
      </c>
      <c r="AM2">
        <f t="shared" si="0"/>
        <v>2042</v>
      </c>
      <c r="AN2">
        <f t="shared" si="0"/>
        <v>2043</v>
      </c>
      <c r="AO2">
        <f t="shared" si="0"/>
        <v>2044</v>
      </c>
      <c r="AP2">
        <f t="shared" si="0"/>
        <v>2045</v>
      </c>
      <c r="AQ2">
        <f t="shared" si="0"/>
        <v>2046</v>
      </c>
      <c r="AR2">
        <f t="shared" si="0"/>
        <v>2047</v>
      </c>
      <c r="AS2">
        <f t="shared" si="0"/>
        <v>2048</v>
      </c>
      <c r="AT2">
        <f t="shared" si="0"/>
        <v>2049</v>
      </c>
      <c r="AU2">
        <f t="shared" si="0"/>
        <v>2050</v>
      </c>
      <c r="AV2">
        <f t="shared" si="0"/>
        <v>2051</v>
      </c>
      <c r="AW2">
        <f t="shared" si="0"/>
        <v>2052</v>
      </c>
      <c r="AX2">
        <f t="shared" si="0"/>
        <v>2053</v>
      </c>
      <c r="AY2">
        <f t="shared" si="0"/>
        <v>2054</v>
      </c>
      <c r="AZ2">
        <f t="shared" si="0"/>
        <v>2055</v>
      </c>
      <c r="BA2">
        <f t="shared" si="0"/>
        <v>2056</v>
      </c>
      <c r="BB2">
        <f t="shared" si="0"/>
        <v>2057</v>
      </c>
      <c r="BC2">
        <f t="shared" si="0"/>
        <v>2058</v>
      </c>
      <c r="BD2">
        <f t="shared" si="0"/>
        <v>2059</v>
      </c>
      <c r="BE2">
        <f t="shared" si="0"/>
        <v>2060</v>
      </c>
      <c r="BF2">
        <f t="shared" si="0"/>
        <v>2061</v>
      </c>
      <c r="BG2">
        <f t="shared" si="0"/>
        <v>2062</v>
      </c>
      <c r="BH2">
        <f t="shared" si="0"/>
        <v>2063</v>
      </c>
      <c r="BI2">
        <f t="shared" si="0"/>
        <v>2064</v>
      </c>
      <c r="BJ2">
        <f t="shared" si="0"/>
        <v>2065</v>
      </c>
      <c r="BK2">
        <f t="shared" si="0"/>
        <v>2066</v>
      </c>
      <c r="BL2">
        <f t="shared" si="0"/>
        <v>2067</v>
      </c>
      <c r="BM2">
        <f t="shared" si="0"/>
        <v>2068</v>
      </c>
      <c r="BN2">
        <f t="shared" si="0"/>
        <v>2069</v>
      </c>
      <c r="BO2">
        <f t="shared" si="0"/>
        <v>2070</v>
      </c>
      <c r="BP2">
        <f t="shared" si="0"/>
        <v>2071</v>
      </c>
      <c r="BQ2">
        <f t="shared" si="0"/>
        <v>2072</v>
      </c>
      <c r="BR2">
        <f t="shared" si="0"/>
        <v>2073</v>
      </c>
      <c r="BS2">
        <f t="shared" si="0"/>
        <v>2074</v>
      </c>
      <c r="BT2">
        <f t="shared" si="0"/>
        <v>2075</v>
      </c>
      <c r="BU2">
        <f t="shared" si="0"/>
        <v>2076</v>
      </c>
      <c r="BV2">
        <f t="shared" si="0"/>
        <v>2077</v>
      </c>
      <c r="BW2">
        <f t="shared" si="0"/>
        <v>2078</v>
      </c>
      <c r="BX2">
        <f t="shared" si="0"/>
        <v>2079</v>
      </c>
      <c r="BY2">
        <f t="shared" si="0"/>
        <v>2080</v>
      </c>
      <c r="BZ2">
        <f t="shared" si="0"/>
        <v>2081</v>
      </c>
      <c r="CA2">
        <f t="shared" si="0"/>
        <v>2082</v>
      </c>
      <c r="CB2">
        <f t="shared" si="0"/>
        <v>2083</v>
      </c>
      <c r="CC2">
        <f t="shared" si="0"/>
        <v>2084</v>
      </c>
      <c r="CD2">
        <f t="shared" si="0"/>
        <v>2085</v>
      </c>
      <c r="CE2">
        <f t="shared" si="0"/>
        <v>2086</v>
      </c>
      <c r="CF2">
        <f t="shared" si="0"/>
        <v>2087</v>
      </c>
      <c r="CG2">
        <f t="shared" si="0"/>
        <v>2088</v>
      </c>
      <c r="CH2">
        <f t="shared" si="0"/>
        <v>2089</v>
      </c>
      <c r="CI2">
        <f t="shared" ref="CI2:DE2" si="1">CH2+1</f>
        <v>2090</v>
      </c>
      <c r="CJ2">
        <f t="shared" si="1"/>
        <v>2091</v>
      </c>
      <c r="CK2">
        <f t="shared" si="1"/>
        <v>2092</v>
      </c>
      <c r="CL2">
        <f t="shared" si="1"/>
        <v>2093</v>
      </c>
      <c r="CM2">
        <f t="shared" si="1"/>
        <v>2094</v>
      </c>
      <c r="CN2">
        <f t="shared" si="1"/>
        <v>2095</v>
      </c>
      <c r="CO2">
        <f t="shared" si="1"/>
        <v>2096</v>
      </c>
      <c r="CP2">
        <f t="shared" si="1"/>
        <v>2097</v>
      </c>
      <c r="CQ2">
        <f t="shared" si="1"/>
        <v>2098</v>
      </c>
      <c r="CR2">
        <f t="shared" si="1"/>
        <v>2099</v>
      </c>
      <c r="CS2">
        <f t="shared" si="1"/>
        <v>2100</v>
      </c>
      <c r="CT2">
        <f t="shared" si="1"/>
        <v>2101</v>
      </c>
      <c r="CU2">
        <f t="shared" si="1"/>
        <v>2102</v>
      </c>
      <c r="CV2">
        <f t="shared" si="1"/>
        <v>2103</v>
      </c>
      <c r="CW2">
        <f t="shared" si="1"/>
        <v>2104</v>
      </c>
      <c r="CX2">
        <f t="shared" si="1"/>
        <v>2105</v>
      </c>
      <c r="CY2">
        <f t="shared" si="1"/>
        <v>2106</v>
      </c>
      <c r="CZ2">
        <f t="shared" si="1"/>
        <v>2107</v>
      </c>
      <c r="DA2">
        <f t="shared" si="1"/>
        <v>2108</v>
      </c>
      <c r="DB2">
        <f t="shared" si="1"/>
        <v>2109</v>
      </c>
      <c r="DC2">
        <f t="shared" si="1"/>
        <v>2110</v>
      </c>
      <c r="DD2">
        <f t="shared" si="1"/>
        <v>2111</v>
      </c>
      <c r="DE2">
        <f t="shared" si="1"/>
        <v>2112</v>
      </c>
      <c r="DF2">
        <f>DE2+1</f>
        <v>2113</v>
      </c>
    </row>
    <row r="3" spans="1:110" x14ac:dyDescent="0.35">
      <c r="B3" t="s">
        <v>25</v>
      </c>
      <c r="C3">
        <v>1806.5</v>
      </c>
      <c r="G3">
        <v>3841.8</v>
      </c>
      <c r="P3">
        <v>0</v>
      </c>
      <c r="Q3">
        <v>0</v>
      </c>
      <c r="R3">
        <v>0</v>
      </c>
      <c r="S3" s="8">
        <v>482.5</v>
      </c>
      <c r="T3" s="8">
        <v>5163.1000000000004</v>
      </c>
      <c r="U3" s="8">
        <v>11540.1</v>
      </c>
    </row>
    <row r="4" spans="1:110" x14ac:dyDescent="0.35">
      <c r="B4" t="s">
        <v>33</v>
      </c>
      <c r="C4">
        <v>1050.3</v>
      </c>
      <c r="G4">
        <v>1158.9000000000001</v>
      </c>
      <c r="P4">
        <v>579.70000000000005</v>
      </c>
      <c r="Q4">
        <v>912.7</v>
      </c>
      <c r="R4">
        <v>1349.9</v>
      </c>
      <c r="S4" s="8">
        <v>2483.5</v>
      </c>
      <c r="T4" s="8">
        <v>3863.4</v>
      </c>
      <c r="U4" s="8">
        <v>5306.6</v>
      </c>
    </row>
    <row r="5" spans="1:110" x14ac:dyDescent="0.35">
      <c r="B5" t="s">
        <v>64</v>
      </c>
      <c r="C5">
        <v>1456.3</v>
      </c>
      <c r="G5">
        <v>1095.2</v>
      </c>
      <c r="P5">
        <v>4127.8</v>
      </c>
      <c r="Q5">
        <v>5068.1000000000004</v>
      </c>
      <c r="R5">
        <v>6471.9</v>
      </c>
      <c r="S5" s="8">
        <v>7439.7</v>
      </c>
      <c r="T5" s="8">
        <v>7132.6</v>
      </c>
      <c r="U5" s="8">
        <v>5253.5</v>
      </c>
    </row>
    <row r="6" spans="1:110" x14ac:dyDescent="0.35">
      <c r="B6" t="s">
        <v>27</v>
      </c>
      <c r="C6">
        <v>517.4</v>
      </c>
      <c r="G6">
        <v>2311.9</v>
      </c>
      <c r="P6">
        <v>0</v>
      </c>
      <c r="Q6">
        <v>0</v>
      </c>
      <c r="R6">
        <v>0</v>
      </c>
      <c r="S6" s="8">
        <v>0</v>
      </c>
      <c r="T6" s="8">
        <v>175.8</v>
      </c>
      <c r="U6" s="8">
        <v>4925.7</v>
      </c>
    </row>
    <row r="7" spans="1:110" x14ac:dyDescent="0.35">
      <c r="B7" t="s">
        <v>24</v>
      </c>
      <c r="C7">
        <v>686.5</v>
      </c>
      <c r="G7">
        <v>1014.4</v>
      </c>
      <c r="P7">
        <v>944.2</v>
      </c>
      <c r="Q7">
        <v>1153.8</v>
      </c>
      <c r="R7">
        <v>1490.8</v>
      </c>
      <c r="S7" s="8">
        <v>2066</v>
      </c>
      <c r="T7" s="8">
        <v>2744.7</v>
      </c>
      <c r="U7" s="8">
        <v>3340.9</v>
      </c>
    </row>
    <row r="8" spans="1:110" x14ac:dyDescent="0.35">
      <c r="B8" t="s">
        <v>37</v>
      </c>
      <c r="C8">
        <v>604.1</v>
      </c>
      <c r="G8">
        <v>761.9</v>
      </c>
      <c r="P8">
        <v>1366.1</v>
      </c>
      <c r="Q8">
        <v>1788.5</v>
      </c>
      <c r="R8">
        <v>2212.8000000000002</v>
      </c>
      <c r="S8" s="8">
        <v>2482</v>
      </c>
      <c r="T8" s="8">
        <v>2759.6</v>
      </c>
      <c r="U8" s="8">
        <v>3260.4</v>
      </c>
    </row>
    <row r="9" spans="1:110" x14ac:dyDescent="0.35">
      <c r="B9" t="s">
        <v>22</v>
      </c>
      <c r="P9">
        <v>2820.7</v>
      </c>
      <c r="Q9">
        <v>2625.9</v>
      </c>
      <c r="R9">
        <v>2453</v>
      </c>
      <c r="S9" s="8">
        <v>2060.6</v>
      </c>
      <c r="T9" s="8">
        <v>1663.3</v>
      </c>
      <c r="U9" s="8">
        <v>2324.8000000000002</v>
      </c>
    </row>
    <row r="10" spans="1:110" x14ac:dyDescent="0.35">
      <c r="B10" t="s">
        <v>28</v>
      </c>
      <c r="P10">
        <v>925.1</v>
      </c>
      <c r="Q10">
        <v>1032.5999999999999</v>
      </c>
      <c r="R10">
        <v>1033</v>
      </c>
      <c r="S10" s="8">
        <v>971.4</v>
      </c>
      <c r="T10" s="8">
        <v>974.7</v>
      </c>
      <c r="U10" s="8">
        <v>973.3</v>
      </c>
    </row>
    <row r="11" spans="1:110" x14ac:dyDescent="0.35">
      <c r="B11" t="s">
        <v>35</v>
      </c>
      <c r="P11">
        <v>426.9</v>
      </c>
      <c r="Q11">
        <v>638.9</v>
      </c>
      <c r="R11">
        <v>1115.0999999999999</v>
      </c>
      <c r="S11" s="8">
        <v>830.5</v>
      </c>
      <c r="T11" s="8">
        <v>922.6</v>
      </c>
      <c r="U11" s="8">
        <v>957.4</v>
      </c>
    </row>
    <row r="12" spans="1:110" x14ac:dyDescent="0.35">
      <c r="B12" t="s">
        <v>23</v>
      </c>
      <c r="P12">
        <v>1290.0999999999999</v>
      </c>
      <c r="Q12">
        <v>1259.5999999999999</v>
      </c>
      <c r="R12">
        <v>1222.5999999999999</v>
      </c>
      <c r="S12" s="8">
        <v>1019.4</v>
      </c>
      <c r="T12" s="8">
        <v>852.1</v>
      </c>
      <c r="U12" s="8">
        <v>917.1</v>
      </c>
    </row>
    <row r="13" spans="1:110" x14ac:dyDescent="0.35">
      <c r="B13" t="s">
        <v>38</v>
      </c>
      <c r="P13">
        <v>162.5</v>
      </c>
      <c r="Q13">
        <v>362.9</v>
      </c>
      <c r="R13">
        <v>577.20000000000005</v>
      </c>
      <c r="S13" s="8">
        <v>650.9</v>
      </c>
      <c r="T13" s="8">
        <v>678.3</v>
      </c>
      <c r="U13" s="8">
        <v>870.4</v>
      </c>
    </row>
    <row r="14" spans="1:110" x14ac:dyDescent="0.35">
      <c r="B14" t="s">
        <v>21</v>
      </c>
      <c r="P14">
        <v>1112.5999999999999</v>
      </c>
      <c r="Q14">
        <v>1124.4000000000001</v>
      </c>
      <c r="R14">
        <v>892.5</v>
      </c>
      <c r="S14" s="8">
        <v>760.4</v>
      </c>
      <c r="T14" s="8">
        <v>728.3</v>
      </c>
      <c r="U14" s="8">
        <v>676.9</v>
      </c>
    </row>
    <row r="15" spans="1:110" x14ac:dyDescent="0.35">
      <c r="B15" t="s">
        <v>29</v>
      </c>
      <c r="P15">
        <v>543.4</v>
      </c>
      <c r="Q15">
        <v>536.4</v>
      </c>
      <c r="R15">
        <v>548.29999999999995</v>
      </c>
      <c r="S15" s="8">
        <v>566.5</v>
      </c>
      <c r="T15" s="8">
        <v>596.5</v>
      </c>
      <c r="U15" s="8">
        <v>627.4</v>
      </c>
    </row>
    <row r="16" spans="1:110" x14ac:dyDescent="0.35">
      <c r="B16" t="s">
        <v>32</v>
      </c>
      <c r="P16">
        <v>0</v>
      </c>
      <c r="Q16">
        <v>308.7</v>
      </c>
      <c r="R16">
        <v>418.1</v>
      </c>
      <c r="S16" s="8">
        <v>0</v>
      </c>
      <c r="T16" s="8">
        <v>393.4</v>
      </c>
      <c r="U16" s="8">
        <v>526</v>
      </c>
    </row>
    <row r="17" spans="2:23" x14ac:dyDescent="0.35">
      <c r="B17" t="s">
        <v>68</v>
      </c>
      <c r="P17">
        <v>418.7</v>
      </c>
      <c r="Q17">
        <v>406.5</v>
      </c>
      <c r="R17">
        <v>430.3</v>
      </c>
      <c r="S17" s="8">
        <v>336.9</v>
      </c>
      <c r="T17" s="8">
        <v>1694.8</v>
      </c>
      <c r="U17" s="8">
        <v>116.3</v>
      </c>
    </row>
    <row r="18" spans="2:23" x14ac:dyDescent="0.35">
      <c r="B18" t="s">
        <v>65</v>
      </c>
      <c r="P18">
        <v>0</v>
      </c>
      <c r="Q18">
        <v>0</v>
      </c>
      <c r="R18">
        <v>0</v>
      </c>
      <c r="S18" s="8">
        <v>139.30000000000001</v>
      </c>
      <c r="T18" s="8">
        <v>677.6</v>
      </c>
      <c r="U18" s="8">
        <v>29.1</v>
      </c>
    </row>
    <row r="19" spans="2:23" x14ac:dyDescent="0.35">
      <c r="B19" t="s">
        <v>111</v>
      </c>
      <c r="P19">
        <v>1404.7</v>
      </c>
      <c r="Q19">
        <v>1046.3</v>
      </c>
      <c r="R19">
        <v>801.9</v>
      </c>
      <c r="S19" s="8">
        <v>613.4</v>
      </c>
      <c r="T19" s="8">
        <v>0</v>
      </c>
      <c r="U19" s="8">
        <v>0</v>
      </c>
    </row>
    <row r="20" spans="2:23" x14ac:dyDescent="0.35">
      <c r="B20" t="s">
        <v>112</v>
      </c>
      <c r="P20">
        <v>890.5</v>
      </c>
      <c r="Q20">
        <v>607.1</v>
      </c>
      <c r="R20">
        <v>718.4</v>
      </c>
      <c r="S20" s="8">
        <v>587.29999999999995</v>
      </c>
      <c r="T20" s="8">
        <v>0</v>
      </c>
      <c r="U20" s="8">
        <v>0</v>
      </c>
    </row>
    <row r="21" spans="2:23" x14ac:dyDescent="0.35">
      <c r="B21" t="s">
        <v>113</v>
      </c>
      <c r="P21">
        <v>2115.8000000000002</v>
      </c>
      <c r="Q21">
        <v>2329.9</v>
      </c>
      <c r="R21">
        <v>2061.4</v>
      </c>
      <c r="S21" s="8">
        <v>927.7</v>
      </c>
      <c r="T21" s="8">
        <v>0</v>
      </c>
      <c r="U21" s="8">
        <v>0</v>
      </c>
    </row>
    <row r="22" spans="2:23" x14ac:dyDescent="0.35">
      <c r="B22" t="s">
        <v>116</v>
      </c>
      <c r="P22">
        <v>590.6</v>
      </c>
      <c r="Q22">
        <v>358.5</v>
      </c>
      <c r="R22">
        <v>372</v>
      </c>
      <c r="S22" s="8">
        <v>0</v>
      </c>
      <c r="T22" s="8">
        <v>0</v>
      </c>
      <c r="U22" s="8">
        <v>0</v>
      </c>
    </row>
    <row r="23" spans="2:23" x14ac:dyDescent="0.35">
      <c r="B23" t="s">
        <v>115</v>
      </c>
      <c r="P23">
        <v>725.4</v>
      </c>
      <c r="Q23">
        <v>767.7</v>
      </c>
      <c r="R23">
        <v>581.5</v>
      </c>
      <c r="S23" s="8">
        <v>0</v>
      </c>
      <c r="T23" s="8">
        <v>0</v>
      </c>
      <c r="U23" s="8">
        <v>0</v>
      </c>
    </row>
    <row r="24" spans="2:23" x14ac:dyDescent="0.35">
      <c r="B24" t="s">
        <v>114</v>
      </c>
      <c r="P24">
        <v>0</v>
      </c>
      <c r="Q24">
        <v>871.2</v>
      </c>
      <c r="R24">
        <v>2239.3000000000002</v>
      </c>
      <c r="S24" s="8">
        <v>2023.5</v>
      </c>
      <c r="T24" s="8">
        <v>0</v>
      </c>
      <c r="U24" s="8">
        <v>0</v>
      </c>
    </row>
    <row r="25" spans="2:23" x14ac:dyDescent="0.35">
      <c r="B25" t="s">
        <v>66</v>
      </c>
      <c r="C25">
        <f>241.9+389.1+229.9+759.7+1026.3</f>
        <v>2646.8999999999996</v>
      </c>
      <c r="G25">
        <f>212.9+272.1+326.1+788.6+944.8</f>
        <v>2544.5</v>
      </c>
      <c r="P25">
        <v>1874.4</v>
      </c>
      <c r="Q25">
        <v>1340.1</v>
      </c>
      <c r="R25">
        <v>1327.9</v>
      </c>
      <c r="S25" s="8">
        <v>2100.1999999999998</v>
      </c>
      <c r="T25" s="8">
        <v>3103.3</v>
      </c>
      <c r="U25" s="8">
        <v>3396.8</v>
      </c>
    </row>
    <row r="26" spans="2:23" s="5" customFormat="1" x14ac:dyDescent="0.35">
      <c r="B26" s="5" t="s">
        <v>67</v>
      </c>
      <c r="C26" s="9">
        <f>SUM(C3:C25)</f>
        <v>8768</v>
      </c>
      <c r="G26" s="9">
        <f>SUM(G3:G25)</f>
        <v>12728.6</v>
      </c>
      <c r="H26" s="9">
        <v>15557.7</v>
      </c>
      <c r="I26" s="9">
        <v>15540</v>
      </c>
      <c r="J26" s="9">
        <v>17240</v>
      </c>
      <c r="K26" s="9">
        <v>15760</v>
      </c>
      <c r="L26" s="9">
        <v>17350</v>
      </c>
      <c r="M26" s="9">
        <v>17750</v>
      </c>
      <c r="N26" s="9">
        <v>19450</v>
      </c>
      <c r="P26" s="9">
        <f t="shared" ref="P26:U26" si="2">SUM(P3:P25)</f>
        <v>22319.200000000001</v>
      </c>
      <c r="Q26" s="9">
        <f t="shared" si="2"/>
        <v>24539.8</v>
      </c>
      <c r="R26" s="9">
        <f t="shared" si="2"/>
        <v>28317.9</v>
      </c>
      <c r="S26" s="9">
        <f t="shared" si="2"/>
        <v>28541.700000000008</v>
      </c>
      <c r="T26" s="9">
        <f t="shared" si="2"/>
        <v>34124.099999999991</v>
      </c>
      <c r="U26" s="9">
        <f t="shared" si="2"/>
        <v>45042.700000000019</v>
      </c>
      <c r="V26" s="5">
        <v>61000</v>
      </c>
      <c r="W26" s="5">
        <v>72250</v>
      </c>
    </row>
    <row r="27" spans="2:23" x14ac:dyDescent="0.35">
      <c r="B27" t="s">
        <v>102</v>
      </c>
      <c r="C27">
        <v>1673.5</v>
      </c>
      <c r="G27">
        <v>2224.1999999999998</v>
      </c>
      <c r="H27">
        <v>2447.8000000000002</v>
      </c>
      <c r="P27">
        <v>4721.2</v>
      </c>
      <c r="Q27">
        <v>5483.3</v>
      </c>
      <c r="R27">
        <v>7312.8</v>
      </c>
      <c r="S27" s="8">
        <v>6629.8</v>
      </c>
      <c r="T27" s="8">
        <v>7082.2</v>
      </c>
      <c r="U27" s="8">
        <v>8415.2999999999993</v>
      </c>
    </row>
    <row r="28" spans="2:23" x14ac:dyDescent="0.35">
      <c r="B28" t="s">
        <v>103</v>
      </c>
      <c r="C28">
        <v>2522.8000000000002</v>
      </c>
      <c r="G28">
        <v>2733.7</v>
      </c>
      <c r="H28">
        <v>3336.1</v>
      </c>
      <c r="P28">
        <v>5595</v>
      </c>
      <c r="Q28">
        <v>6085.7</v>
      </c>
      <c r="R28">
        <v>7025.9</v>
      </c>
      <c r="S28" s="8">
        <v>7190.8</v>
      </c>
      <c r="T28" s="9">
        <v>9313.4</v>
      </c>
      <c r="U28" s="9">
        <v>10990.6</v>
      </c>
    </row>
    <row r="29" spans="2:23" x14ac:dyDescent="0.35">
      <c r="B29" t="s">
        <v>104</v>
      </c>
      <c r="C29">
        <v>1952.2</v>
      </c>
      <c r="G29">
        <v>2468.8000000000002</v>
      </c>
      <c r="H29">
        <v>2753</v>
      </c>
      <c r="P29">
        <v>6213.8</v>
      </c>
      <c r="Q29">
        <v>6121.2</v>
      </c>
      <c r="R29">
        <v>6431.6</v>
      </c>
      <c r="S29" s="8">
        <v>6440.4</v>
      </c>
      <c r="T29" s="8">
        <v>7403.1</v>
      </c>
      <c r="U29" s="8">
        <v>8593.7999999999993</v>
      </c>
    </row>
    <row r="30" spans="2:23" x14ac:dyDescent="0.35">
      <c r="B30" t="s">
        <v>105</v>
      </c>
      <c r="C30">
        <v>110.5</v>
      </c>
      <c r="G30" s="5">
        <v>1571.7</v>
      </c>
      <c r="H30" s="5">
        <v>153.80000000000001</v>
      </c>
      <c r="I30" s="5"/>
      <c r="P30">
        <v>239.6</v>
      </c>
      <c r="Q30">
        <v>660.4</v>
      </c>
      <c r="R30">
        <v>874.9</v>
      </c>
      <c r="S30" s="8">
        <v>908.5</v>
      </c>
      <c r="T30" s="9">
        <v>3799.8</v>
      </c>
      <c r="U30" s="9">
        <v>3280.4</v>
      </c>
    </row>
    <row r="31" spans="2:23" x14ac:dyDescent="0.35">
      <c r="B31" t="s">
        <v>117</v>
      </c>
      <c r="C31">
        <v>0</v>
      </c>
      <c r="G31">
        <v>35</v>
      </c>
      <c r="P31">
        <v>575.6</v>
      </c>
      <c r="Q31">
        <v>131.19999999999999</v>
      </c>
      <c r="R31">
        <v>316.10000000000002</v>
      </c>
      <c r="S31" s="8">
        <v>244.6</v>
      </c>
      <c r="T31" s="8">
        <v>67.7</v>
      </c>
      <c r="U31" s="8">
        <v>860.6</v>
      </c>
    </row>
    <row r="32" spans="2:23" x14ac:dyDescent="0.35">
      <c r="B32" t="s">
        <v>106</v>
      </c>
      <c r="C32">
        <v>-27.1</v>
      </c>
      <c r="G32">
        <v>239</v>
      </c>
      <c r="H32">
        <v>90.6</v>
      </c>
      <c r="P32">
        <v>-291.60000000000002</v>
      </c>
      <c r="Q32">
        <v>-1171.9000000000001</v>
      </c>
      <c r="R32">
        <v>201.6</v>
      </c>
      <c r="S32" s="8">
        <v>320.89999999999998</v>
      </c>
      <c r="T32" s="8">
        <v>-96.7</v>
      </c>
      <c r="U32" s="8">
        <v>218.6</v>
      </c>
    </row>
    <row r="33" spans="2:110" x14ac:dyDescent="0.35">
      <c r="B33" t="s">
        <v>107</v>
      </c>
      <c r="C33" s="8">
        <f t="shared" ref="C33" si="3">C26-SUM(C27:C32)</f>
        <v>2536.1000000000004</v>
      </c>
      <c r="G33" s="8">
        <f>G26-SUM(G27:G32)</f>
        <v>3456.2000000000007</v>
      </c>
      <c r="H33" s="8">
        <f>H26-SUM(H27:H32)</f>
        <v>6776.4000000000015</v>
      </c>
      <c r="I33" s="8"/>
      <c r="P33" s="8">
        <f t="shared" ref="P33:Q33" si="4">P26-SUM(P27:P32)</f>
        <v>5265.6000000000022</v>
      </c>
      <c r="Q33" s="8">
        <f t="shared" si="4"/>
        <v>7229.8999999999978</v>
      </c>
      <c r="R33" s="8">
        <f>R26-SUM(R27:R32)</f>
        <v>6155</v>
      </c>
      <c r="S33" s="8">
        <f>S26-SUM(S27:S32)</f>
        <v>6806.700000000008</v>
      </c>
      <c r="T33" s="8">
        <f t="shared" ref="T33:U33" si="5">T26-SUM(T27:T32)</f>
        <v>6554.5999999999949</v>
      </c>
      <c r="U33" s="8">
        <f t="shared" si="5"/>
        <v>12683.40000000002</v>
      </c>
    </row>
    <row r="34" spans="2:110" x14ac:dyDescent="0.35">
      <c r="B34" t="s">
        <v>108</v>
      </c>
      <c r="C34">
        <v>293.2</v>
      </c>
      <c r="G34">
        <v>696.8</v>
      </c>
      <c r="H34">
        <v>1115.9000000000001</v>
      </c>
      <c r="P34">
        <v>628</v>
      </c>
      <c r="Q34">
        <v>1036.2</v>
      </c>
      <c r="R34">
        <v>573.79999999999995</v>
      </c>
      <c r="S34" s="8">
        <v>561.6</v>
      </c>
      <c r="T34" s="8">
        <v>1314.2</v>
      </c>
      <c r="U34" s="8">
        <v>2090.4</v>
      </c>
    </row>
    <row r="35" spans="2:110" x14ac:dyDescent="0.35">
      <c r="B35" t="s">
        <v>109</v>
      </c>
      <c r="C35" s="8">
        <f t="shared" ref="C35" si="6">C33-C34</f>
        <v>2242.9000000000005</v>
      </c>
      <c r="G35" s="8">
        <f t="shared" ref="G35" si="7">G33-G34</f>
        <v>2759.4000000000005</v>
      </c>
      <c r="H35" s="8">
        <f>H33-H34</f>
        <v>5660.5000000000018</v>
      </c>
      <c r="I35" s="8">
        <v>5440</v>
      </c>
      <c r="J35" s="8">
        <v>6140</v>
      </c>
      <c r="K35" s="8">
        <v>5920</v>
      </c>
      <c r="L35" s="8"/>
      <c r="M35" s="8"/>
      <c r="N35" s="8"/>
      <c r="P35" s="8">
        <f t="shared" ref="P35:R35" si="8">P33-P34</f>
        <v>4637.6000000000022</v>
      </c>
      <c r="Q35" s="8">
        <f t="shared" si="8"/>
        <v>6193.699999999998</v>
      </c>
      <c r="R35" s="8">
        <f t="shared" si="8"/>
        <v>5581.2</v>
      </c>
      <c r="S35" s="8">
        <f>S33-S34</f>
        <v>6245.1000000000076</v>
      </c>
      <c r="T35" s="8">
        <f t="shared" ref="T35:U35" si="9">T33-T34</f>
        <v>5240.3999999999951</v>
      </c>
      <c r="U35" s="8">
        <f t="shared" si="9"/>
        <v>10593.00000000002</v>
      </c>
      <c r="V35" s="8">
        <v>20000</v>
      </c>
      <c r="W35" s="8">
        <v>27000</v>
      </c>
      <c r="X35" s="8">
        <f>W35*1.1</f>
        <v>29700.000000000004</v>
      </c>
      <c r="Y35" s="8">
        <f>X35*1.1</f>
        <v>32670.000000000007</v>
      </c>
      <c r="Z35" s="8">
        <f t="shared" ref="Z35:AI35" si="10">Y35*1.05</f>
        <v>34303.500000000007</v>
      </c>
      <c r="AA35" s="8">
        <f t="shared" si="10"/>
        <v>36018.67500000001</v>
      </c>
      <c r="AB35" s="8">
        <f t="shared" si="10"/>
        <v>37819.608750000014</v>
      </c>
      <c r="AC35" s="8">
        <f t="shared" si="10"/>
        <v>39710.589187500016</v>
      </c>
      <c r="AD35" s="8">
        <f t="shared" si="10"/>
        <v>41696.118646875017</v>
      </c>
      <c r="AE35" s="8">
        <f t="shared" si="10"/>
        <v>43780.924579218772</v>
      </c>
      <c r="AF35" s="8">
        <f t="shared" si="10"/>
        <v>45969.970808179714</v>
      </c>
      <c r="AG35" s="8">
        <f t="shared" si="10"/>
        <v>48268.469348588704</v>
      </c>
      <c r="AH35" s="8">
        <f t="shared" si="10"/>
        <v>50681.892816018139</v>
      </c>
      <c r="AI35" s="8">
        <f t="shared" si="10"/>
        <v>53215.98745681905</v>
      </c>
      <c r="AJ35" s="8">
        <f t="shared" ref="AJ35:CI35" si="11">AI35*1.02</f>
        <v>54280.307205955432</v>
      </c>
      <c r="AK35" s="8">
        <f t="shared" si="11"/>
        <v>55365.913350074545</v>
      </c>
      <c r="AL35" s="8">
        <f t="shared" si="11"/>
        <v>56473.231617076039</v>
      </c>
      <c r="AM35" s="8">
        <f t="shared" si="11"/>
        <v>57602.69624941756</v>
      </c>
      <c r="AN35" s="8">
        <f t="shared" si="11"/>
        <v>58754.750174405912</v>
      </c>
      <c r="AO35" s="8">
        <f t="shared" si="11"/>
        <v>59929.845177894029</v>
      </c>
      <c r="AP35" s="8">
        <f t="shared" si="11"/>
        <v>61128.442081451911</v>
      </c>
      <c r="AQ35" s="8">
        <f t="shared" si="11"/>
        <v>62351.010923080947</v>
      </c>
      <c r="AR35" s="8">
        <f t="shared" si="11"/>
        <v>63598.031141542568</v>
      </c>
      <c r="AS35" s="8">
        <f t="shared" si="11"/>
        <v>64869.991764373422</v>
      </c>
      <c r="AT35" s="8">
        <f t="shared" si="11"/>
        <v>66167.391599660885</v>
      </c>
      <c r="AU35" s="8">
        <f t="shared" si="11"/>
        <v>67490.739431654103</v>
      </c>
      <c r="AV35" s="8">
        <f t="shared" si="11"/>
        <v>68840.554220287187</v>
      </c>
      <c r="AW35" s="8">
        <f t="shared" si="11"/>
        <v>70217.365304692939</v>
      </c>
      <c r="AX35" s="8">
        <f t="shared" si="11"/>
        <v>71621.712610786795</v>
      </c>
      <c r="AY35" s="8">
        <f t="shared" si="11"/>
        <v>73054.146863002534</v>
      </c>
      <c r="AZ35" s="8">
        <f t="shared" si="11"/>
        <v>74515.22980026259</v>
      </c>
      <c r="BA35" s="8">
        <f t="shared" si="11"/>
        <v>76005.534396267845</v>
      </c>
      <c r="BB35" s="8">
        <f t="shared" si="11"/>
        <v>77525.645084193209</v>
      </c>
      <c r="BC35" s="8">
        <f t="shared" si="11"/>
        <v>79076.157985877071</v>
      </c>
      <c r="BD35" s="8">
        <f t="shared" si="11"/>
        <v>80657.681145594615</v>
      </c>
      <c r="BE35" s="8">
        <f t="shared" si="11"/>
        <v>82270.834768506509</v>
      </c>
      <c r="BF35" s="8">
        <f t="shared" si="11"/>
        <v>83916.251463876644</v>
      </c>
      <c r="BG35" s="8">
        <f t="shared" si="11"/>
        <v>85594.576493154178</v>
      </c>
      <c r="BH35" s="8">
        <f t="shared" si="11"/>
        <v>87306.468023017267</v>
      </c>
      <c r="BI35" s="8">
        <f t="shared" si="11"/>
        <v>89052.597383477609</v>
      </c>
      <c r="BJ35" s="8">
        <f t="shared" si="11"/>
        <v>90833.649331147157</v>
      </c>
      <c r="BK35" s="8">
        <f t="shared" si="11"/>
        <v>92650.3223177701</v>
      </c>
      <c r="BL35" s="8">
        <f t="shared" si="11"/>
        <v>94503.328764125501</v>
      </c>
      <c r="BM35" s="8">
        <f t="shared" si="11"/>
        <v>96393.395339408016</v>
      </c>
      <c r="BN35" s="8">
        <f t="shared" si="11"/>
        <v>98321.263246196177</v>
      </c>
      <c r="BO35" s="8">
        <f t="shared" si="11"/>
        <v>100287.6885111201</v>
      </c>
      <c r="BP35" s="8">
        <f t="shared" si="11"/>
        <v>102293.4422813425</v>
      </c>
      <c r="BQ35" s="8">
        <f t="shared" si="11"/>
        <v>104339.31112696936</v>
      </c>
      <c r="BR35" s="8">
        <f t="shared" si="11"/>
        <v>106426.09734950875</v>
      </c>
      <c r="BS35" s="8">
        <f t="shared" si="11"/>
        <v>108554.61929649893</v>
      </c>
      <c r="BT35" s="8">
        <f t="shared" si="11"/>
        <v>110725.71168242891</v>
      </c>
      <c r="BU35" s="8">
        <f t="shared" si="11"/>
        <v>112940.22591607748</v>
      </c>
      <c r="BV35" s="8">
        <f t="shared" si="11"/>
        <v>115199.03043439904</v>
      </c>
      <c r="BW35" s="8">
        <f t="shared" si="11"/>
        <v>117503.01104308703</v>
      </c>
      <c r="BX35" s="8">
        <f t="shared" si="11"/>
        <v>119853.07126394878</v>
      </c>
      <c r="BY35" s="8">
        <f t="shared" si="11"/>
        <v>122250.13268922776</v>
      </c>
      <c r="BZ35" s="8">
        <f t="shared" si="11"/>
        <v>124695.13534301231</v>
      </c>
      <c r="CA35" s="8">
        <f t="shared" si="11"/>
        <v>127189.03804987256</v>
      </c>
      <c r="CB35" s="8">
        <f t="shared" si="11"/>
        <v>129732.81881087001</v>
      </c>
      <c r="CC35" s="8">
        <f t="shared" si="11"/>
        <v>132327.4751870874</v>
      </c>
      <c r="CD35" s="8">
        <f t="shared" si="11"/>
        <v>134974.02469082916</v>
      </c>
      <c r="CE35" s="8">
        <f t="shared" si="11"/>
        <v>137673.50518464574</v>
      </c>
      <c r="CF35" s="8">
        <f t="shared" si="11"/>
        <v>140426.97528833864</v>
      </c>
      <c r="CG35" s="8">
        <f t="shared" si="11"/>
        <v>143235.5147941054</v>
      </c>
      <c r="CH35" s="8">
        <f t="shared" si="11"/>
        <v>146100.22508998751</v>
      </c>
      <c r="CI35" s="8">
        <f t="shared" si="11"/>
        <v>149022.22959178727</v>
      </c>
      <c r="CJ35" s="8">
        <f t="shared" ref="CJ35:DF35" si="12">CI35*1.02</f>
        <v>152002.67418362302</v>
      </c>
      <c r="CK35" s="8">
        <f t="shared" si="12"/>
        <v>155042.72766729549</v>
      </c>
      <c r="CL35" s="8">
        <f t="shared" si="12"/>
        <v>158143.5822206414</v>
      </c>
      <c r="CM35" s="8">
        <f t="shared" si="12"/>
        <v>161306.45386505424</v>
      </c>
      <c r="CN35" s="8">
        <f t="shared" si="12"/>
        <v>164532.58294235534</v>
      </c>
      <c r="CO35" s="8">
        <f t="shared" si="12"/>
        <v>167823.23460120245</v>
      </c>
      <c r="CP35" s="8">
        <f t="shared" si="12"/>
        <v>171179.6992932265</v>
      </c>
      <c r="CQ35" s="8">
        <f t="shared" si="12"/>
        <v>174603.29327909104</v>
      </c>
      <c r="CR35" s="8">
        <f t="shared" si="12"/>
        <v>178095.35914467287</v>
      </c>
      <c r="CS35" s="8">
        <f t="shared" si="12"/>
        <v>181657.26632756632</v>
      </c>
      <c r="CT35" s="8">
        <f t="shared" si="12"/>
        <v>185290.41165411766</v>
      </c>
      <c r="CU35" s="8">
        <f t="shared" si="12"/>
        <v>188996.21988720002</v>
      </c>
      <c r="CV35" s="8">
        <f t="shared" si="12"/>
        <v>192776.14428494402</v>
      </c>
      <c r="CW35" s="8">
        <f t="shared" si="12"/>
        <v>196631.6671706429</v>
      </c>
      <c r="CX35" s="8">
        <f t="shared" si="12"/>
        <v>200564.30051405577</v>
      </c>
      <c r="CY35" s="8">
        <f t="shared" si="12"/>
        <v>204575.58652433689</v>
      </c>
      <c r="CZ35" s="8">
        <f t="shared" si="12"/>
        <v>208667.09825482362</v>
      </c>
      <c r="DA35" s="8">
        <f t="shared" si="12"/>
        <v>212840.4402199201</v>
      </c>
      <c r="DB35" s="8">
        <f t="shared" si="12"/>
        <v>217097.2490243185</v>
      </c>
      <c r="DC35" s="8">
        <f t="shared" si="12"/>
        <v>221439.19400480489</v>
      </c>
      <c r="DD35" s="8">
        <f t="shared" si="12"/>
        <v>225867.97788490099</v>
      </c>
      <c r="DE35" s="8">
        <f t="shared" si="12"/>
        <v>230385.337442599</v>
      </c>
      <c r="DF35" s="8">
        <f t="shared" si="12"/>
        <v>234993.04419145099</v>
      </c>
    </row>
    <row r="36" spans="2:110" x14ac:dyDescent="0.35">
      <c r="B36" t="s">
        <v>110</v>
      </c>
      <c r="C36">
        <v>2.4900000000000002</v>
      </c>
      <c r="G36">
        <v>3.07</v>
      </c>
      <c r="P36">
        <v>8.93</v>
      </c>
      <c r="Q36">
        <v>6.82</v>
      </c>
      <c r="R36">
        <v>6.12</v>
      </c>
      <c r="S36" s="8">
        <v>6.93</v>
      </c>
      <c r="T36" s="8">
        <v>5.82</v>
      </c>
      <c r="U36" s="8">
        <v>11.76</v>
      </c>
    </row>
    <row r="37" spans="2:110" x14ac:dyDescent="0.35">
      <c r="U37">
        <f>U35/main!O5</f>
        <v>11.197674418604672</v>
      </c>
      <c r="V37">
        <f>V35/main!O5</f>
        <v>21.141649048625794</v>
      </c>
    </row>
    <row r="38" spans="2:110" x14ac:dyDescent="0.35">
      <c r="B38" s="5" t="s">
        <v>134</v>
      </c>
      <c r="G38" s="3">
        <f>G26/C26-1</f>
        <v>0.45171076642335772</v>
      </c>
      <c r="H38" s="3">
        <f t="shared" ref="H38:M38" si="13">H26/G26-1</f>
        <v>0.22226324968967526</v>
      </c>
      <c r="I38" s="3">
        <f t="shared" si="13"/>
        <v>-1.1377003027440713E-3</v>
      </c>
      <c r="J38" s="3">
        <f t="shared" si="13"/>
        <v>0.10939510939510932</v>
      </c>
      <c r="K38" s="3">
        <f t="shared" si="13"/>
        <v>-8.5846867749419964E-2</v>
      </c>
      <c r="L38" s="3">
        <f t="shared" si="13"/>
        <v>0.10088832487309651</v>
      </c>
      <c r="M38" s="3">
        <f t="shared" si="13"/>
        <v>2.3054755043227626E-2</v>
      </c>
      <c r="N38" s="3">
        <f>N26/M26-1</f>
        <v>9.5774647887324038E-2</v>
      </c>
      <c r="P38" s="3"/>
      <c r="Q38" s="3">
        <f t="shared" ref="Q38:S38" si="14">Q26/P26-1</f>
        <v>9.9492813362485943E-2</v>
      </c>
      <c r="R38" s="3">
        <f t="shared" si="14"/>
        <v>0.15395805996788892</v>
      </c>
      <c r="S38" s="3">
        <f t="shared" si="14"/>
        <v>7.903128409945781E-3</v>
      </c>
      <c r="T38" s="3">
        <f>T26/S26-1</f>
        <v>0.19558750880290887</v>
      </c>
      <c r="U38" s="3">
        <f>U26/T26-1</f>
        <v>0.319967413059979</v>
      </c>
      <c r="V38" s="3">
        <f t="shared" ref="V38:W38" si="15">V26/U26-1</f>
        <v>0.35427050332240229</v>
      </c>
      <c r="W38" s="3">
        <f t="shared" si="15"/>
        <v>0.18442622950819665</v>
      </c>
      <c r="X38" s="3"/>
      <c r="Y38" s="3"/>
      <c r="Z38" s="3"/>
      <c r="AA38" s="3"/>
    </row>
    <row r="39" spans="2:110" x14ac:dyDescent="0.35">
      <c r="B39" s="5" t="s">
        <v>135</v>
      </c>
      <c r="H39" s="3">
        <f>H35/G35-1</f>
        <v>1.0513517431325652</v>
      </c>
      <c r="I39" s="5"/>
      <c r="J39" s="5"/>
      <c r="K39" s="5"/>
      <c r="L39" s="5"/>
      <c r="M39" s="5"/>
      <c r="N39" s="5"/>
      <c r="Q39" s="3">
        <f>Q35/P35-1</f>
        <v>0.33553993444885188</v>
      </c>
      <c r="R39" s="3">
        <f t="shared" ref="R39:Y39" si="16">R35/Q35-1</f>
        <v>-9.889080840208575E-2</v>
      </c>
      <c r="S39" s="3">
        <f t="shared" si="16"/>
        <v>0.11895291335196867</v>
      </c>
      <c r="T39" s="3">
        <f t="shared" si="16"/>
        <v>-0.16087812845270877</v>
      </c>
      <c r="U39" s="3">
        <f t="shared" si="16"/>
        <v>1.021410579345094</v>
      </c>
      <c r="V39" s="3">
        <f t="shared" si="16"/>
        <v>0.88803927121683768</v>
      </c>
      <c r="W39" s="3">
        <f t="shared" si="16"/>
        <v>0.35000000000000009</v>
      </c>
      <c r="X39" s="3">
        <f t="shared" si="16"/>
        <v>0.10000000000000009</v>
      </c>
      <c r="Y39" s="3">
        <f t="shared" si="16"/>
        <v>0.10000000000000009</v>
      </c>
    </row>
    <row r="40" spans="2:110" x14ac:dyDescent="0.35">
      <c r="Y40" t="s">
        <v>124</v>
      </c>
      <c r="Z40" s="3">
        <v>7.0000000000000007E-2</v>
      </c>
    </row>
    <row r="41" spans="2:110" x14ac:dyDescent="0.35">
      <c r="Y41" t="s">
        <v>125</v>
      </c>
      <c r="Z41" s="3">
        <v>0.02</v>
      </c>
    </row>
    <row r="42" spans="2:110" x14ac:dyDescent="0.35">
      <c r="Y42" t="s">
        <v>126</v>
      </c>
      <c r="Z42" s="10">
        <f>NPV(Z40,V35:DF35)</f>
        <v>725830.13674178335</v>
      </c>
    </row>
    <row r="43" spans="2:110" x14ac:dyDescent="0.35">
      <c r="Y43" t="s">
        <v>127</v>
      </c>
      <c r="Z43" s="10">
        <f>Z42/main!O5</f>
        <v>767.26230099554266</v>
      </c>
    </row>
  </sheetData>
  <hyperlinks>
    <hyperlink ref="A2" location="main!A1" display="Main" xr:uid="{8D8E3EE7-A8A3-4CEA-BA89-6C49F6E571FE}"/>
  </hyperlink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D2163-A56D-4CB9-9309-F1785E79B14B}">
  <dimension ref="A1:C15"/>
  <sheetViews>
    <sheetView workbookViewId="0">
      <selection activeCell="C15" sqref="C15"/>
    </sheetView>
  </sheetViews>
  <sheetFormatPr defaultRowHeight="14.5" x14ac:dyDescent="0.35"/>
  <cols>
    <col min="1" max="1" width="5.08984375" bestFit="1" customWidth="1"/>
    <col min="2" max="2" width="12.54296875" bestFit="1" customWidth="1"/>
  </cols>
  <sheetData>
    <row r="1" spans="1:3" x14ac:dyDescent="0.35">
      <c r="A1" s="4" t="s">
        <v>63</v>
      </c>
    </row>
    <row r="2" spans="1:3" x14ac:dyDescent="0.35">
      <c r="B2" t="s">
        <v>69</v>
      </c>
      <c r="C2" t="s">
        <v>25</v>
      </c>
    </row>
    <row r="3" spans="1:3" x14ac:dyDescent="0.35">
      <c r="B3" t="s">
        <v>70</v>
      </c>
      <c r="C3" t="s">
        <v>75</v>
      </c>
    </row>
    <row r="4" spans="1:3" x14ac:dyDescent="0.35">
      <c r="B4" t="s">
        <v>12</v>
      </c>
      <c r="C4" t="s">
        <v>72</v>
      </c>
    </row>
    <row r="5" spans="1:3" x14ac:dyDescent="0.35">
      <c r="B5" t="s">
        <v>18</v>
      </c>
      <c r="C5" t="s">
        <v>74</v>
      </c>
    </row>
    <row r="6" spans="1:3" x14ac:dyDescent="0.35">
      <c r="B6" t="s">
        <v>13</v>
      </c>
    </row>
    <row r="7" spans="1:3" x14ac:dyDescent="0.35">
      <c r="B7" t="s">
        <v>71</v>
      </c>
    </row>
    <row r="11" spans="1:3" x14ac:dyDescent="0.35">
      <c r="C11" s="6" t="s">
        <v>76</v>
      </c>
    </row>
    <row r="13" spans="1:3" x14ac:dyDescent="0.35">
      <c r="C13" s="6" t="s">
        <v>77</v>
      </c>
    </row>
    <row r="15" spans="1:3" x14ac:dyDescent="0.35">
      <c r="C15" s="6" t="s">
        <v>78</v>
      </c>
    </row>
  </sheetData>
  <hyperlinks>
    <hyperlink ref="A1" location="main!A1" display="Main" xr:uid="{8977C8A2-F8AD-40C6-A534-23F2F3B2DC1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ED77F-2B01-42B8-8EC4-5DFF22C8A3DA}">
  <dimension ref="A1:C15"/>
  <sheetViews>
    <sheetView workbookViewId="0">
      <selection activeCell="D12" sqref="D12"/>
    </sheetView>
  </sheetViews>
  <sheetFormatPr defaultRowHeight="14.5" x14ac:dyDescent="0.35"/>
  <cols>
    <col min="1" max="1" width="5.08984375" bestFit="1" customWidth="1"/>
  </cols>
  <sheetData>
    <row r="1" spans="1:3" x14ac:dyDescent="0.35">
      <c r="A1" s="4" t="s">
        <v>63</v>
      </c>
    </row>
    <row r="2" spans="1:3" x14ac:dyDescent="0.35">
      <c r="B2" t="s">
        <v>97</v>
      </c>
    </row>
    <row r="3" spans="1:3" x14ac:dyDescent="0.35">
      <c r="B3" t="s">
        <v>73</v>
      </c>
      <c r="C3" t="s">
        <v>6</v>
      </c>
    </row>
    <row r="4" spans="1:3" x14ac:dyDescent="0.35">
      <c r="B4" t="s">
        <v>12</v>
      </c>
      <c r="C4" t="s">
        <v>98</v>
      </c>
    </row>
    <row r="5" spans="1:3" x14ac:dyDescent="0.35">
      <c r="B5" t="s">
        <v>18</v>
      </c>
      <c r="C5" t="s">
        <v>99</v>
      </c>
    </row>
    <row r="11" spans="1:3" x14ac:dyDescent="0.35">
      <c r="B11" t="s">
        <v>71</v>
      </c>
    </row>
    <row r="12" spans="1:3" x14ac:dyDescent="0.35">
      <c r="C12" s="6" t="s">
        <v>100</v>
      </c>
    </row>
    <row r="15" spans="1:3" x14ac:dyDescent="0.35">
      <c r="C15" t="s">
        <v>101</v>
      </c>
    </row>
  </sheetData>
  <hyperlinks>
    <hyperlink ref="A1" location="main!A1" display="Main" xr:uid="{4AC4326D-553C-4CDE-8B16-3170D79A1A2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02632-CA8E-4083-BB29-C691531A3F71}">
  <dimension ref="A1:H22"/>
  <sheetViews>
    <sheetView workbookViewId="0">
      <selection activeCell="C8" sqref="C8"/>
    </sheetView>
  </sheetViews>
  <sheetFormatPr defaultRowHeight="14.5" x14ac:dyDescent="0.35"/>
  <cols>
    <col min="1" max="1" width="5.08984375" bestFit="1" customWidth="1"/>
    <col min="2" max="2" width="15.36328125" bestFit="1" customWidth="1"/>
    <col min="3" max="3" width="9.453125" bestFit="1" customWidth="1"/>
    <col min="5" max="5" width="10" customWidth="1"/>
  </cols>
  <sheetData>
    <row r="1" spans="1:7" x14ac:dyDescent="0.35">
      <c r="A1" s="4" t="s">
        <v>63</v>
      </c>
    </row>
    <row r="2" spans="1:7" x14ac:dyDescent="0.35">
      <c r="B2" t="s">
        <v>82</v>
      </c>
      <c r="C2" t="s">
        <v>83</v>
      </c>
    </row>
    <row r="3" spans="1:7" x14ac:dyDescent="0.35">
      <c r="B3" t="s">
        <v>88</v>
      </c>
      <c r="C3">
        <v>559</v>
      </c>
    </row>
    <row r="4" spans="1:7" x14ac:dyDescent="0.35">
      <c r="B4" t="s">
        <v>87</v>
      </c>
      <c r="C4" s="7">
        <v>45132</v>
      </c>
    </row>
    <row r="5" spans="1:7" x14ac:dyDescent="0.35">
      <c r="B5" t="s">
        <v>17</v>
      </c>
      <c r="C5" t="s">
        <v>20</v>
      </c>
    </row>
    <row r="6" spans="1:7" x14ac:dyDescent="0.35">
      <c r="B6" t="s">
        <v>84</v>
      </c>
      <c r="C6" t="s">
        <v>6</v>
      </c>
    </row>
    <row r="7" spans="1:7" x14ac:dyDescent="0.35">
      <c r="C7" t="s">
        <v>86</v>
      </c>
    </row>
    <row r="8" spans="1:7" x14ac:dyDescent="0.35">
      <c r="B8" t="s">
        <v>79</v>
      </c>
      <c r="C8" t="s">
        <v>85</v>
      </c>
    </row>
    <row r="11" spans="1:7" x14ac:dyDescent="0.35">
      <c r="C11" t="s">
        <v>89</v>
      </c>
    </row>
    <row r="12" spans="1:7" x14ac:dyDescent="0.35">
      <c r="C12" t="s">
        <v>90</v>
      </c>
    </row>
    <row r="15" spans="1:7" x14ac:dyDescent="0.35">
      <c r="G15" t="s">
        <v>95</v>
      </c>
    </row>
    <row r="16" spans="1:7" x14ac:dyDescent="0.35">
      <c r="C16" t="s">
        <v>86</v>
      </c>
      <c r="E16">
        <v>-0.41</v>
      </c>
      <c r="F16" t="s">
        <v>94</v>
      </c>
    </row>
    <row r="17" spans="3:8" x14ac:dyDescent="0.35">
      <c r="C17" t="s">
        <v>91</v>
      </c>
      <c r="E17">
        <v>-1.24</v>
      </c>
      <c r="F17" t="s">
        <v>94</v>
      </c>
      <c r="G17">
        <v>-0.83</v>
      </c>
      <c r="H17" t="s">
        <v>94</v>
      </c>
    </row>
    <row r="18" spans="3:8" x14ac:dyDescent="0.35">
      <c r="C18" t="s">
        <v>92</v>
      </c>
      <c r="E18">
        <v>-1.47</v>
      </c>
      <c r="F18" t="s">
        <v>94</v>
      </c>
      <c r="G18">
        <v>-1.06</v>
      </c>
      <c r="H18" t="s">
        <v>94</v>
      </c>
    </row>
    <row r="19" spans="3:8" x14ac:dyDescent="0.35">
      <c r="C19" t="s">
        <v>93</v>
      </c>
      <c r="E19">
        <v>-1.48</v>
      </c>
      <c r="F19" t="s">
        <v>94</v>
      </c>
      <c r="G19">
        <v>-1.07</v>
      </c>
      <c r="H19" t="s">
        <v>94</v>
      </c>
    </row>
    <row r="22" spans="3:8" x14ac:dyDescent="0.35">
      <c r="C22" t="s">
        <v>96</v>
      </c>
    </row>
  </sheetData>
  <hyperlinks>
    <hyperlink ref="A1" location="main!A1" display="Main" xr:uid="{3B768617-F293-4DFB-A84E-BB4B90CE05E9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3B5F8-27B9-4F27-8505-ABC8C425030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57617-2DF9-45EB-BB8E-044E6301FF29}">
  <dimension ref="A1:C5"/>
  <sheetViews>
    <sheetView workbookViewId="0"/>
  </sheetViews>
  <sheetFormatPr defaultRowHeight="14.5" x14ac:dyDescent="0.35"/>
  <cols>
    <col min="1" max="1" width="5.08984375" bestFit="1" customWidth="1"/>
  </cols>
  <sheetData>
    <row r="1" spans="1:3" x14ac:dyDescent="0.35">
      <c r="A1" s="4" t="s">
        <v>63</v>
      </c>
    </row>
    <row r="4" spans="1:3" x14ac:dyDescent="0.35">
      <c r="B4">
        <v>1</v>
      </c>
      <c r="C4" t="s">
        <v>80</v>
      </c>
    </row>
    <row r="5" spans="1:3" x14ac:dyDescent="0.35">
      <c r="C5" t="s">
        <v>81</v>
      </c>
    </row>
  </sheetData>
  <hyperlinks>
    <hyperlink ref="A1" location="main!A1" display="Main" xr:uid="{BF0E8AD0-28F2-4364-8B4C-9D6CA071AF7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91EA7-1A66-4530-A5B6-AE75E1EE9853}">
  <dimension ref="B4"/>
  <sheetViews>
    <sheetView workbookViewId="0">
      <selection activeCell="B5" sqref="B5"/>
    </sheetView>
  </sheetViews>
  <sheetFormatPr defaultRowHeight="14.5" x14ac:dyDescent="0.35"/>
  <sheetData>
    <row r="4" spans="2:2" x14ac:dyDescent="0.35">
      <c r="B4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main</vt:lpstr>
      <vt:lpstr>model</vt:lpstr>
      <vt:lpstr>Mounjaro</vt:lpstr>
      <vt:lpstr>Orforglipron</vt:lpstr>
      <vt:lpstr>ACHIEVE-1</vt:lpstr>
      <vt:lpstr>Zepbound</vt:lpstr>
      <vt:lpstr>Literature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Medina</dc:creator>
  <cp:lastModifiedBy>Eduardo Medina Resende de Oliveira</cp:lastModifiedBy>
  <dcterms:created xsi:type="dcterms:W3CDTF">2015-06-05T18:17:20Z</dcterms:created>
  <dcterms:modified xsi:type="dcterms:W3CDTF">2025-08-11T21:06:23Z</dcterms:modified>
</cp:coreProperties>
</file>