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99219842-FEA5-45B2-ACAC-0F9990A96BD3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Main" sheetId="1" r:id="rId1"/>
    <sheet name="Model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2" l="1"/>
  <c r="R3" i="2"/>
  <c r="G23" i="2"/>
  <c r="F23" i="2"/>
  <c r="E23" i="2"/>
  <c r="G22" i="2"/>
  <c r="F22" i="2"/>
  <c r="E22" i="2"/>
  <c r="D22" i="2"/>
  <c r="G17" i="2"/>
  <c r="G19" i="2" s="1"/>
  <c r="G15" i="2"/>
  <c r="F15" i="2"/>
  <c r="F17" i="2" s="1"/>
  <c r="F19" i="2" s="1"/>
  <c r="G13" i="2"/>
  <c r="F13" i="2"/>
  <c r="E13" i="2"/>
  <c r="E15" i="2" s="1"/>
  <c r="E17" i="2" s="1"/>
  <c r="E19" i="2" s="1"/>
  <c r="R11" i="2"/>
  <c r="S11" i="2" s="1"/>
  <c r="T11" i="2" s="1"/>
  <c r="U11" i="2" s="1"/>
  <c r="V11" i="2" s="1"/>
  <c r="W11" i="2" s="1"/>
  <c r="R10" i="2"/>
  <c r="S10" i="2" s="1"/>
  <c r="T10" i="2" s="1"/>
  <c r="U10" i="2" s="1"/>
  <c r="V10" i="2" s="1"/>
  <c r="W10" i="2" s="1"/>
  <c r="W9" i="2"/>
  <c r="W23" i="2" s="1"/>
  <c r="G9" i="2"/>
  <c r="F9" i="2"/>
  <c r="E9" i="2"/>
  <c r="D9" i="2"/>
  <c r="D23" i="2" s="1"/>
  <c r="C9" i="2"/>
  <c r="C13" i="2" s="1"/>
  <c r="C15" i="2" s="1"/>
  <c r="C17" i="2" s="1"/>
  <c r="C19" i="2" s="1"/>
  <c r="R8" i="2"/>
  <c r="Q8" i="2"/>
  <c r="P8" i="2"/>
  <c r="O8" i="2"/>
  <c r="H8" i="2"/>
  <c r="G8" i="2"/>
  <c r="F8" i="2"/>
  <c r="E8" i="2"/>
  <c r="D8" i="2"/>
  <c r="C8" i="2"/>
  <c r="R7" i="2"/>
  <c r="S7" i="2" s="1"/>
  <c r="T7" i="2" s="1"/>
  <c r="U7" i="2" s="1"/>
  <c r="V7" i="2" s="1"/>
  <c r="W7" i="2" s="1"/>
  <c r="S6" i="2"/>
  <c r="Q5" i="2"/>
  <c r="Q9" i="2" s="1"/>
  <c r="P5" i="2"/>
  <c r="P22" i="2" s="1"/>
  <c r="O5" i="2"/>
  <c r="O9" i="2" s="1"/>
  <c r="H5" i="2"/>
  <c r="H9" i="2" s="1"/>
  <c r="G5" i="2"/>
  <c r="F5" i="2"/>
  <c r="E5" i="2"/>
  <c r="D5" i="2"/>
  <c r="C5" i="2"/>
  <c r="S4" i="2"/>
  <c r="T4" i="2" s="1"/>
  <c r="U4" i="2" s="1"/>
  <c r="V4" i="2" s="1"/>
  <c r="W4" i="2" s="1"/>
  <c r="X2" i="2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H6" i="1"/>
  <c r="H4" i="1"/>
  <c r="H7" i="1" s="1"/>
  <c r="H23" i="2" l="1"/>
  <c r="H13" i="2"/>
  <c r="H15" i="2" s="1"/>
  <c r="H17" i="2" s="1"/>
  <c r="H19" i="2" s="1"/>
  <c r="Q23" i="2"/>
  <c r="Q13" i="2"/>
  <c r="Q15" i="2" s="1"/>
  <c r="Q17" i="2" s="1"/>
  <c r="Q19" i="2" s="1"/>
  <c r="R5" i="2"/>
  <c r="S3" i="2"/>
  <c r="O13" i="2"/>
  <c r="O15" i="2" s="1"/>
  <c r="O17" i="2" s="1"/>
  <c r="O19" i="2" s="1"/>
  <c r="O23" i="2"/>
  <c r="S8" i="2"/>
  <c r="Q22" i="2"/>
  <c r="T6" i="2"/>
  <c r="W13" i="2"/>
  <c r="W15" i="2" s="1"/>
  <c r="W17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AG19" i="2" s="1"/>
  <c r="AH19" i="2" s="1"/>
  <c r="AI19" i="2" s="1"/>
  <c r="AJ19" i="2" s="1"/>
  <c r="AK19" i="2" s="1"/>
  <c r="AL19" i="2" s="1"/>
  <c r="AM19" i="2" s="1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H22" i="2"/>
  <c r="P9" i="2"/>
  <c r="D13" i="2"/>
  <c r="D15" i="2" s="1"/>
  <c r="D17" i="2" s="1"/>
  <c r="D19" i="2" s="1"/>
  <c r="S5" i="2" l="1"/>
  <c r="T3" i="2"/>
  <c r="T8" i="2"/>
  <c r="U6" i="2"/>
  <c r="P13" i="2"/>
  <c r="P15" i="2" s="1"/>
  <c r="P17" i="2" s="1"/>
  <c r="P19" i="2" s="1"/>
  <c r="P23" i="2"/>
  <c r="R22" i="2"/>
  <c r="R9" i="2"/>
  <c r="R13" i="2" l="1"/>
  <c r="R15" i="2" s="1"/>
  <c r="R17" i="2" s="1"/>
  <c r="R19" i="2" s="1"/>
  <c r="R23" i="2"/>
  <c r="V6" i="2"/>
  <c r="U8" i="2"/>
  <c r="U3" i="2"/>
  <c r="T5" i="2"/>
  <c r="S9" i="2"/>
  <c r="S22" i="2"/>
  <c r="V3" i="2" l="1"/>
  <c r="U5" i="2"/>
  <c r="S23" i="2"/>
  <c r="S13" i="2"/>
  <c r="S15" i="2" s="1"/>
  <c r="S17" i="2" s="1"/>
  <c r="S19" i="2" s="1"/>
  <c r="T22" i="2"/>
  <c r="T9" i="2"/>
  <c r="W6" i="2"/>
  <c r="W8" i="2" s="1"/>
  <c r="V8" i="2"/>
  <c r="T23" i="2" l="1"/>
  <c r="T13" i="2"/>
  <c r="T15" i="2" s="1"/>
  <c r="T17" i="2" s="1"/>
  <c r="T19" i="2" s="1"/>
  <c r="U9" i="2"/>
  <c r="U22" i="2"/>
  <c r="V5" i="2"/>
  <c r="W3" i="2"/>
  <c r="V22" i="2" l="1"/>
  <c r="V9" i="2"/>
  <c r="W22" i="2"/>
  <c r="U23" i="2"/>
  <c r="U13" i="2"/>
  <c r="U15" i="2" s="1"/>
  <c r="U17" i="2" s="1"/>
  <c r="U19" i="2" s="1"/>
  <c r="V13" i="2" l="1"/>
  <c r="V15" i="2" s="1"/>
  <c r="V17" i="2" s="1"/>
  <c r="V19" i="2" s="1"/>
  <c r="Z28" i="2" s="1" a="1"/>
  <c r="Z28" i="2" s="1"/>
  <c r="Z29" i="2" s="1"/>
  <c r="V23" i="2"/>
</calcChain>
</file>

<file path=xl/sharedStrings.xml><?xml version="1.0" encoding="utf-8"?>
<sst xmlns="http://schemas.openxmlformats.org/spreadsheetml/2006/main" count="45" uniqueCount="44">
  <si>
    <t>Notes</t>
  </si>
  <si>
    <t>Price</t>
  </si>
  <si>
    <t>In a worst case, ASML seems fairly valued</t>
  </si>
  <si>
    <t>Shares</t>
  </si>
  <si>
    <t>MC</t>
  </si>
  <si>
    <t>guidance expects annual revenue between 44b - 60b, at 58% gross margin</t>
  </si>
  <si>
    <t>Cash</t>
  </si>
  <si>
    <t>Debt</t>
  </si>
  <si>
    <t>EV</t>
  </si>
  <si>
    <t>Q22023</t>
  </si>
  <si>
    <t>Q32023</t>
  </si>
  <si>
    <t>Q42023</t>
  </si>
  <si>
    <t>Q12024</t>
  </si>
  <si>
    <t>Q22024</t>
  </si>
  <si>
    <t>Q32024</t>
  </si>
  <si>
    <t>Q42024</t>
  </si>
  <si>
    <t>Net system sales</t>
  </si>
  <si>
    <t>Net service and field options</t>
  </si>
  <si>
    <t>Total net sales</t>
  </si>
  <si>
    <t>Cost of system sales</t>
  </si>
  <si>
    <t>Cost of services and field options</t>
  </si>
  <si>
    <t>Total cost of sales</t>
  </si>
  <si>
    <t>Gross profit</t>
  </si>
  <si>
    <t>R&amp;D</t>
  </si>
  <si>
    <t>SG&amp;A</t>
  </si>
  <si>
    <t>Other income</t>
  </si>
  <si>
    <t>Income from operations</t>
  </si>
  <si>
    <t>Interes and other net</t>
  </si>
  <si>
    <t>Income before income taxes</t>
  </si>
  <si>
    <t>Income tax expense</t>
  </si>
  <si>
    <t>Income after income taxes</t>
  </si>
  <si>
    <t>Profit from equity investments</t>
  </si>
  <si>
    <t>Net income</t>
  </si>
  <si>
    <t>EPS</t>
  </si>
  <si>
    <t>Revenue y/y</t>
  </si>
  <si>
    <t>Gross margin y/y</t>
  </si>
  <si>
    <t>SG&amp;A y/y</t>
  </si>
  <si>
    <t>Maturity</t>
  </si>
  <si>
    <t>Discount</t>
  </si>
  <si>
    <t>ROIC</t>
  </si>
  <si>
    <t>NPV</t>
  </si>
  <si>
    <t>Share</t>
  </si>
  <si>
    <t>2030 rev matrix</t>
  </si>
  <si>
    <t>1Q25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</si>
</sst>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4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962025</xdr:colOff>
      <xdr:row>0</xdr:row>
      <xdr:rowOff>0</xdr:rowOff>
    </xdr:from>
    <xdr:ext cx="28575" cy="494347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4303375" y="0"/>
          <a:ext cx="28575" cy="4943475"/>
          <a:chOff x="2988400" y="653825"/>
          <a:chExt cx="10200" cy="49233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CxnSpPr/>
        </xdr:nvCxnSpPr>
        <xdr:spPr>
          <a:xfrm flipH="1">
            <a:off x="2988400" y="653825"/>
            <a:ext cx="10200" cy="49233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H7"/>
  <sheetViews>
    <sheetView workbookViewId="0"/>
  </sheetViews>
  <sheetFormatPr defaultColWidth="12.6328125" defaultRowHeight="15.75" customHeight="1" x14ac:dyDescent="0.25"/>
  <cols>
    <col min="1" max="1" width="3.36328125" customWidth="1"/>
  </cols>
  <sheetData>
    <row r="2" spans="2:8" ht="15.75" customHeight="1" x14ac:dyDescent="0.25">
      <c r="B2" s="1" t="s">
        <v>0</v>
      </c>
      <c r="G2" s="1" t="s">
        <v>1</v>
      </c>
      <c r="H2" s="1">
        <v>642</v>
      </c>
    </row>
    <row r="3" spans="2:8" ht="15.75" customHeight="1" x14ac:dyDescent="0.25">
      <c r="B3" s="1" t="s">
        <v>2</v>
      </c>
      <c r="G3" s="1" t="s">
        <v>3</v>
      </c>
      <c r="H3" s="1">
        <v>394</v>
      </c>
    </row>
    <row r="4" spans="2:8" ht="15.75" customHeight="1" x14ac:dyDescent="0.25">
      <c r="G4" s="1" t="s">
        <v>4</v>
      </c>
      <c r="H4" s="2">
        <f>H3*H2</f>
        <v>252948</v>
      </c>
    </row>
    <row r="5" spans="2:8" ht="15.75" customHeight="1" x14ac:dyDescent="0.25">
      <c r="B5" s="1" t="s">
        <v>5</v>
      </c>
      <c r="G5" s="1" t="s">
        <v>6</v>
      </c>
      <c r="H5" s="2">
        <v>7004</v>
      </c>
    </row>
    <row r="6" spans="2:8" ht="15.75" customHeight="1" x14ac:dyDescent="0.25">
      <c r="G6" s="1" t="s">
        <v>7</v>
      </c>
      <c r="H6" s="2">
        <f>746+3514</f>
        <v>4260</v>
      </c>
    </row>
    <row r="7" spans="2:8" ht="15.75" customHeight="1" x14ac:dyDescent="0.25">
      <c r="G7" s="1" t="s">
        <v>8</v>
      </c>
      <c r="H7" s="2">
        <f>H4+H6-H5</f>
        <v>250204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BK39"/>
  <sheetViews>
    <sheetView tabSelected="1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Y32" sqref="Y32"/>
    </sheetView>
  </sheetViews>
  <sheetFormatPr defaultColWidth="12.6328125" defaultRowHeight="15.75" customHeight="1" x14ac:dyDescent="0.25"/>
  <cols>
    <col min="1" max="1" width="5" customWidth="1"/>
    <col min="2" max="2" width="22.90625" customWidth="1"/>
  </cols>
  <sheetData>
    <row r="2" spans="2:63" ht="15.75" customHeight="1" x14ac:dyDescent="0.25"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43</v>
      </c>
      <c r="O2" s="1">
        <v>2021</v>
      </c>
      <c r="P2" s="1">
        <v>2023</v>
      </c>
      <c r="Q2" s="1">
        <v>2024</v>
      </c>
      <c r="R2" s="1">
        <v>2025</v>
      </c>
      <c r="S2" s="1">
        <v>2026</v>
      </c>
      <c r="T2" s="1">
        <v>2027</v>
      </c>
      <c r="U2" s="1">
        <v>2028</v>
      </c>
      <c r="V2" s="1">
        <v>2029</v>
      </c>
      <c r="W2" s="1">
        <v>2030</v>
      </c>
      <c r="X2" s="1">
        <f t="shared" ref="X2:BK2" si="0">W2+1</f>
        <v>2031</v>
      </c>
      <c r="Y2" s="1">
        <f t="shared" si="0"/>
        <v>2032</v>
      </c>
      <c r="Z2" s="1">
        <f t="shared" si="0"/>
        <v>2033</v>
      </c>
      <c r="AA2" s="1">
        <f t="shared" si="0"/>
        <v>2034</v>
      </c>
      <c r="AB2" s="1">
        <f t="shared" si="0"/>
        <v>2035</v>
      </c>
      <c r="AC2" s="1">
        <f t="shared" si="0"/>
        <v>2036</v>
      </c>
      <c r="AD2" s="1">
        <f t="shared" si="0"/>
        <v>2037</v>
      </c>
      <c r="AE2" s="1">
        <f t="shared" si="0"/>
        <v>2038</v>
      </c>
      <c r="AF2" s="1">
        <f t="shared" si="0"/>
        <v>2039</v>
      </c>
      <c r="AG2" s="1">
        <f t="shared" si="0"/>
        <v>2040</v>
      </c>
      <c r="AH2" s="1">
        <f t="shared" si="0"/>
        <v>2041</v>
      </c>
      <c r="AI2" s="1">
        <f t="shared" si="0"/>
        <v>2042</v>
      </c>
      <c r="AJ2" s="1">
        <f t="shared" si="0"/>
        <v>2043</v>
      </c>
      <c r="AK2" s="1">
        <f t="shared" si="0"/>
        <v>2044</v>
      </c>
      <c r="AL2" s="1">
        <f t="shared" si="0"/>
        <v>2045</v>
      </c>
      <c r="AM2" s="1">
        <f t="shared" si="0"/>
        <v>2046</v>
      </c>
      <c r="AN2" s="1">
        <f t="shared" si="0"/>
        <v>2047</v>
      </c>
      <c r="AO2" s="1">
        <f t="shared" si="0"/>
        <v>2048</v>
      </c>
      <c r="AP2" s="1">
        <f t="shared" si="0"/>
        <v>2049</v>
      </c>
      <c r="AQ2" s="1">
        <f t="shared" si="0"/>
        <v>2050</v>
      </c>
      <c r="AR2" s="1">
        <f t="shared" si="0"/>
        <v>2051</v>
      </c>
      <c r="AS2" s="1">
        <f t="shared" si="0"/>
        <v>2052</v>
      </c>
      <c r="AT2" s="1">
        <f t="shared" si="0"/>
        <v>2053</v>
      </c>
      <c r="AU2" s="1">
        <f t="shared" si="0"/>
        <v>2054</v>
      </c>
      <c r="AV2" s="1">
        <f t="shared" si="0"/>
        <v>2055</v>
      </c>
      <c r="AW2" s="1">
        <f t="shared" si="0"/>
        <v>2056</v>
      </c>
      <c r="AX2" s="1">
        <f t="shared" si="0"/>
        <v>2057</v>
      </c>
      <c r="AY2" s="1">
        <f t="shared" si="0"/>
        <v>2058</v>
      </c>
      <c r="AZ2" s="1">
        <f t="shared" si="0"/>
        <v>2059</v>
      </c>
      <c r="BA2" s="1">
        <f t="shared" si="0"/>
        <v>2060</v>
      </c>
      <c r="BB2" s="1">
        <f t="shared" si="0"/>
        <v>2061</v>
      </c>
      <c r="BC2" s="1">
        <f t="shared" si="0"/>
        <v>2062</v>
      </c>
      <c r="BD2" s="1">
        <f t="shared" si="0"/>
        <v>2063</v>
      </c>
      <c r="BE2" s="1">
        <f t="shared" si="0"/>
        <v>2064</v>
      </c>
      <c r="BF2" s="1">
        <f t="shared" si="0"/>
        <v>2065</v>
      </c>
      <c r="BG2" s="1">
        <f t="shared" si="0"/>
        <v>2066</v>
      </c>
      <c r="BH2" s="1">
        <f t="shared" si="0"/>
        <v>2067</v>
      </c>
      <c r="BI2" s="1">
        <f t="shared" si="0"/>
        <v>2068</v>
      </c>
      <c r="BJ2" s="1">
        <f t="shared" si="0"/>
        <v>2069</v>
      </c>
      <c r="BK2" s="1">
        <f t="shared" si="0"/>
        <v>2070</v>
      </c>
    </row>
    <row r="3" spans="2:63" ht="15.75" customHeight="1" x14ac:dyDescent="0.25">
      <c r="B3" s="1" t="s">
        <v>16</v>
      </c>
      <c r="C3" s="2">
        <v>5606</v>
      </c>
      <c r="D3" s="2">
        <v>5308</v>
      </c>
      <c r="E3" s="2">
        <v>5682</v>
      </c>
      <c r="F3" s="2">
        <v>3965</v>
      </c>
      <c r="G3" s="2">
        <v>4760</v>
      </c>
      <c r="H3" s="1">
        <v>5926</v>
      </c>
      <c r="J3" s="1" t="s">
        <v>43</v>
      </c>
      <c r="O3" s="2">
        <v>13652</v>
      </c>
      <c r="P3" s="2">
        <v>21939</v>
      </c>
      <c r="Q3" s="2">
        <v>21768</v>
      </c>
      <c r="R3" s="2">
        <f>Q3*1.1</f>
        <v>23944.800000000003</v>
      </c>
      <c r="S3" s="2">
        <f>R3*1.1</f>
        <v>26339.280000000006</v>
      </c>
      <c r="T3" s="2">
        <f t="shared" ref="T3:U3" si="1">S3*1.05</f>
        <v>27656.244000000006</v>
      </c>
      <c r="U3" s="2">
        <f t="shared" si="1"/>
        <v>29039.056200000006</v>
      </c>
      <c r="V3" s="2">
        <f t="shared" ref="V3:W3" si="2">U3*1.08</f>
        <v>31362.18069600001</v>
      </c>
      <c r="W3" s="2">
        <f t="shared" si="2"/>
        <v>33871.15515168001</v>
      </c>
    </row>
    <row r="4" spans="2:63" ht="15.75" customHeight="1" x14ac:dyDescent="0.25">
      <c r="B4" s="1" t="s">
        <v>17</v>
      </c>
      <c r="C4" s="2">
        <v>1296</v>
      </c>
      <c r="D4" s="2">
        <v>1364</v>
      </c>
      <c r="E4" s="2">
        <v>1554</v>
      </c>
      <c r="F4" s="2">
        <v>1324</v>
      </c>
      <c r="G4" s="2">
        <v>1481</v>
      </c>
      <c r="H4" s="1">
        <v>1541</v>
      </c>
      <c r="O4" s="2">
        <v>4958</v>
      </c>
      <c r="P4" s="2">
        <v>5620</v>
      </c>
      <c r="Q4" s="2">
        <v>6494</v>
      </c>
      <c r="R4" s="2">
        <f>Q4*1.1</f>
        <v>7143.4000000000005</v>
      </c>
      <c r="S4" s="2">
        <f>R4*1.08</f>
        <v>7714.8720000000012</v>
      </c>
      <c r="T4" s="2">
        <f t="shared" ref="T4:U4" si="3">S4*1.03</f>
        <v>7946.3181600000016</v>
      </c>
      <c r="U4" s="2">
        <f t="shared" si="3"/>
        <v>8184.7077048000019</v>
      </c>
      <c r="V4" s="2">
        <f t="shared" ref="V4:W4" si="4">U4*1.05</f>
        <v>8593.9430900400021</v>
      </c>
      <c r="W4" s="2">
        <f t="shared" si="4"/>
        <v>9023.6402445420026</v>
      </c>
    </row>
    <row r="5" spans="2:63" ht="13" x14ac:dyDescent="0.3">
      <c r="B5" s="3" t="s">
        <v>18</v>
      </c>
      <c r="C5" s="4">
        <f t="shared" ref="C5:H5" si="5">SUM(C3:C4)</f>
        <v>6902</v>
      </c>
      <c r="D5" s="4">
        <f t="shared" si="5"/>
        <v>6672</v>
      </c>
      <c r="E5" s="4">
        <f t="shared" si="5"/>
        <v>7236</v>
      </c>
      <c r="F5" s="4">
        <f t="shared" si="5"/>
        <v>5289</v>
      </c>
      <c r="G5" s="4">
        <f t="shared" si="5"/>
        <v>6241</v>
      </c>
      <c r="H5" s="4">
        <f t="shared" si="5"/>
        <v>7467</v>
      </c>
      <c r="O5" s="4">
        <f t="shared" ref="O5:V5" si="6">SUM(O3:O4)</f>
        <v>18610</v>
      </c>
      <c r="P5" s="4">
        <f t="shared" si="6"/>
        <v>27559</v>
      </c>
      <c r="Q5" s="4">
        <f t="shared" si="6"/>
        <v>28262</v>
      </c>
      <c r="R5" s="4">
        <f t="shared" si="6"/>
        <v>31088.200000000004</v>
      </c>
      <c r="S5" s="4">
        <f t="shared" si="6"/>
        <v>34054.152000000009</v>
      </c>
      <c r="T5" s="4">
        <f t="shared" si="6"/>
        <v>35602.562160000009</v>
      </c>
      <c r="U5" s="4">
        <f t="shared" si="6"/>
        <v>37223.763904800006</v>
      </c>
      <c r="V5" s="4">
        <f t="shared" si="6"/>
        <v>39956.123786040014</v>
      </c>
      <c r="W5" s="4">
        <v>44000</v>
      </c>
    </row>
    <row r="6" spans="2:63" ht="15.75" customHeight="1" x14ac:dyDescent="0.25">
      <c r="B6" s="1" t="s">
        <v>19</v>
      </c>
      <c r="C6" s="2">
        <v>3358</v>
      </c>
      <c r="D6" s="2">
        <v>3211</v>
      </c>
      <c r="E6" s="2">
        <v>3519</v>
      </c>
      <c r="F6" s="2">
        <v>2593</v>
      </c>
      <c r="G6" s="2">
        <v>3030</v>
      </c>
      <c r="H6" s="2">
        <v>3673.9</v>
      </c>
      <c r="O6" s="2">
        <v>6482</v>
      </c>
      <c r="P6" s="2">
        <v>7582</v>
      </c>
      <c r="Q6" s="2">
        <v>10000</v>
      </c>
      <c r="R6" s="2">
        <v>12500</v>
      </c>
      <c r="S6" s="2">
        <f t="shared" ref="S6:V6" si="7">R6*1.03</f>
        <v>12875</v>
      </c>
      <c r="T6" s="2">
        <f t="shared" si="7"/>
        <v>13261.25</v>
      </c>
      <c r="U6" s="2">
        <f t="shared" si="7"/>
        <v>13659.0875</v>
      </c>
      <c r="V6" s="2">
        <f t="shared" si="7"/>
        <v>14068.860124999999</v>
      </c>
      <c r="W6" s="2">
        <f>V6*1.05</f>
        <v>14772.303131250001</v>
      </c>
    </row>
    <row r="7" spans="2:63" ht="15.75" customHeight="1" x14ac:dyDescent="0.25"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O7" s="2">
        <v>2319</v>
      </c>
      <c r="P7" s="2">
        <v>2891</v>
      </c>
      <c r="Q7" s="2">
        <v>2800</v>
      </c>
      <c r="R7" s="2">
        <f>Q7*1.03</f>
        <v>2884</v>
      </c>
      <c r="S7" s="2">
        <f t="shared" ref="S7:V7" si="8">R7*1.02</f>
        <v>2941.68</v>
      </c>
      <c r="T7" s="2">
        <f t="shared" si="8"/>
        <v>3000.5135999999998</v>
      </c>
      <c r="U7" s="2">
        <f t="shared" si="8"/>
        <v>3060.5238719999998</v>
      </c>
      <c r="V7" s="2">
        <f t="shared" si="8"/>
        <v>3121.7343494399997</v>
      </c>
      <c r="W7" s="2">
        <f>V7*1.03</f>
        <v>3215.3863799231999</v>
      </c>
    </row>
    <row r="8" spans="2:63" ht="15.75" customHeight="1" x14ac:dyDescent="0.25">
      <c r="B8" s="1" t="s">
        <v>21</v>
      </c>
      <c r="C8" s="2">
        <f t="shared" ref="C8:H8" si="9">SUM(C6:C7)</f>
        <v>3358</v>
      </c>
      <c r="D8" s="2">
        <f t="shared" si="9"/>
        <v>3211</v>
      </c>
      <c r="E8" s="2">
        <f t="shared" si="9"/>
        <v>3519</v>
      </c>
      <c r="F8" s="2">
        <f t="shared" si="9"/>
        <v>2593</v>
      </c>
      <c r="G8" s="2">
        <f t="shared" si="9"/>
        <v>3030</v>
      </c>
      <c r="H8" s="2">
        <f t="shared" si="9"/>
        <v>3673.9</v>
      </c>
      <c r="O8" s="2">
        <f t="shared" ref="O8:W8" si="10">SUM(O6:O7)</f>
        <v>8801</v>
      </c>
      <c r="P8" s="2">
        <f t="shared" si="10"/>
        <v>10473</v>
      </c>
      <c r="Q8" s="2">
        <f t="shared" si="10"/>
        <v>12800</v>
      </c>
      <c r="R8" s="2">
        <f t="shared" si="10"/>
        <v>15384</v>
      </c>
      <c r="S8" s="2">
        <f t="shared" si="10"/>
        <v>15816.68</v>
      </c>
      <c r="T8" s="2">
        <f t="shared" si="10"/>
        <v>16261.7636</v>
      </c>
      <c r="U8" s="2">
        <f t="shared" si="10"/>
        <v>16719.611371999999</v>
      </c>
      <c r="V8" s="2">
        <f t="shared" si="10"/>
        <v>17190.59447444</v>
      </c>
      <c r="W8" s="2">
        <f t="shared" si="10"/>
        <v>17987.689511173201</v>
      </c>
    </row>
    <row r="9" spans="2:63" ht="15.75" customHeight="1" x14ac:dyDescent="0.25">
      <c r="B9" s="1" t="s">
        <v>22</v>
      </c>
      <c r="C9" s="2">
        <f t="shared" ref="C9:H9" si="11">C5-C8</f>
        <v>3544</v>
      </c>
      <c r="D9" s="2">
        <f t="shared" si="11"/>
        <v>3461</v>
      </c>
      <c r="E9" s="2">
        <f t="shared" si="11"/>
        <v>3717</v>
      </c>
      <c r="F9" s="2">
        <f t="shared" si="11"/>
        <v>2696</v>
      </c>
      <c r="G9" s="2">
        <f t="shared" si="11"/>
        <v>3211</v>
      </c>
      <c r="H9" s="2">
        <f t="shared" si="11"/>
        <v>3793.1</v>
      </c>
      <c r="O9" s="2">
        <f t="shared" ref="O9:V9" si="12">O5-O8</f>
        <v>9809</v>
      </c>
      <c r="P9" s="2">
        <f t="shared" si="12"/>
        <v>17086</v>
      </c>
      <c r="Q9" s="2">
        <f t="shared" si="12"/>
        <v>15462</v>
      </c>
      <c r="R9" s="2">
        <f t="shared" si="12"/>
        <v>15704.200000000004</v>
      </c>
      <c r="S9" s="2">
        <f t="shared" si="12"/>
        <v>18237.472000000009</v>
      </c>
      <c r="T9" s="2">
        <f t="shared" si="12"/>
        <v>19340.79856000001</v>
      </c>
      <c r="U9" s="2">
        <f t="shared" si="12"/>
        <v>20504.152532800006</v>
      </c>
      <c r="V9" s="2">
        <f t="shared" si="12"/>
        <v>22765.529311600014</v>
      </c>
      <c r="W9" s="2">
        <f>W5*0.5</f>
        <v>22000</v>
      </c>
    </row>
    <row r="10" spans="2:63" ht="15.75" customHeight="1" x14ac:dyDescent="0.25">
      <c r="B10" s="1" t="s">
        <v>23</v>
      </c>
      <c r="C10" s="2">
        <v>999</v>
      </c>
      <c r="D10" s="2">
        <v>991</v>
      </c>
      <c r="E10" s="2">
        <v>1041</v>
      </c>
      <c r="F10" s="2">
        <v>1031</v>
      </c>
      <c r="G10" s="2">
        <v>1100</v>
      </c>
      <c r="H10" s="2">
        <v>1055</v>
      </c>
      <c r="O10" s="2">
        <v>2547</v>
      </c>
      <c r="P10" s="2">
        <v>3253</v>
      </c>
      <c r="Q10" s="2">
        <v>3980</v>
      </c>
      <c r="R10" s="2">
        <f t="shared" ref="R10:W10" si="13">Q10*1.05</f>
        <v>4179</v>
      </c>
      <c r="S10" s="2">
        <f t="shared" si="13"/>
        <v>4387.95</v>
      </c>
      <c r="T10" s="2">
        <f t="shared" si="13"/>
        <v>4607.3474999999999</v>
      </c>
      <c r="U10" s="2">
        <f t="shared" si="13"/>
        <v>4837.7148749999997</v>
      </c>
      <c r="V10" s="2">
        <f t="shared" si="13"/>
        <v>5079.6006187499997</v>
      </c>
      <c r="W10" s="2">
        <f t="shared" si="13"/>
        <v>5333.5806496875002</v>
      </c>
    </row>
    <row r="11" spans="2:63" ht="15.75" customHeight="1" x14ac:dyDescent="0.25">
      <c r="B11" s="1" t="s">
        <v>24</v>
      </c>
      <c r="C11" s="2">
        <v>281</v>
      </c>
      <c r="D11" s="2">
        <v>287</v>
      </c>
      <c r="E11" s="2">
        <v>284</v>
      </c>
      <c r="F11" s="2">
        <v>273</v>
      </c>
      <c r="G11" s="2">
        <v>277</v>
      </c>
      <c r="H11" s="2">
        <v>297</v>
      </c>
      <c r="O11" s="2">
        <v>725</v>
      </c>
      <c r="P11" s="2">
        <v>945</v>
      </c>
      <c r="Q11" s="2">
        <v>1113</v>
      </c>
      <c r="R11" s="2">
        <f t="shared" ref="R11:W11" si="14">Q11*1.05</f>
        <v>1168.6500000000001</v>
      </c>
      <c r="S11" s="2">
        <f t="shared" si="14"/>
        <v>1227.0825000000002</v>
      </c>
      <c r="T11" s="2">
        <f t="shared" si="14"/>
        <v>1288.4366250000003</v>
      </c>
      <c r="U11" s="2">
        <f t="shared" si="14"/>
        <v>1352.8584562500002</v>
      </c>
      <c r="V11" s="2">
        <f t="shared" si="14"/>
        <v>1420.5013790625003</v>
      </c>
      <c r="W11" s="2">
        <f t="shared" si="14"/>
        <v>1491.5264480156254</v>
      </c>
    </row>
    <row r="12" spans="2:63" ht="15.75" customHeight="1" x14ac:dyDescent="0.25">
      <c r="B12" s="1" t="s">
        <v>25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O12" s="2">
        <v>213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 spans="2:63" ht="15.75" customHeight="1" x14ac:dyDescent="0.25">
      <c r="B13" s="1" t="s">
        <v>26</v>
      </c>
      <c r="C13" s="2">
        <f t="shared" ref="C13:H13" si="15">C9+C12-C11-C10</f>
        <v>2264</v>
      </c>
      <c r="D13" s="2">
        <f t="shared" si="15"/>
        <v>2183</v>
      </c>
      <c r="E13" s="2">
        <f t="shared" si="15"/>
        <v>2392</v>
      </c>
      <c r="F13" s="2">
        <f t="shared" si="15"/>
        <v>1392</v>
      </c>
      <c r="G13" s="2">
        <f t="shared" si="15"/>
        <v>1834</v>
      </c>
      <c r="H13" s="2">
        <f t="shared" si="15"/>
        <v>2441.1</v>
      </c>
      <c r="O13" s="2">
        <f t="shared" ref="O13:W13" si="16">O9+O12-O11-O10</f>
        <v>6750</v>
      </c>
      <c r="P13" s="2">
        <f t="shared" si="16"/>
        <v>12888</v>
      </c>
      <c r="Q13" s="2">
        <f t="shared" si="16"/>
        <v>10369</v>
      </c>
      <c r="R13" s="2">
        <f t="shared" si="16"/>
        <v>10356.550000000005</v>
      </c>
      <c r="S13" s="2">
        <f t="shared" si="16"/>
        <v>12622.439500000008</v>
      </c>
      <c r="T13" s="2">
        <f t="shared" si="16"/>
        <v>13445.014435000008</v>
      </c>
      <c r="U13" s="2">
        <f t="shared" si="16"/>
        <v>14313.579201550006</v>
      </c>
      <c r="V13" s="2">
        <f t="shared" si="16"/>
        <v>16265.427313787513</v>
      </c>
      <c r="W13" s="2">
        <f t="shared" si="16"/>
        <v>15174.892902296873</v>
      </c>
    </row>
    <row r="14" spans="2:63" ht="15.75" customHeight="1" x14ac:dyDescent="0.25">
      <c r="B14" s="1" t="s">
        <v>27</v>
      </c>
      <c r="C14" s="2">
        <v>0</v>
      </c>
      <c r="D14" s="2">
        <v>7.1</v>
      </c>
      <c r="E14" s="2">
        <v>5.2</v>
      </c>
      <c r="F14" s="2">
        <v>26</v>
      </c>
      <c r="G14" s="2">
        <v>-11.9</v>
      </c>
      <c r="H14" s="2">
        <v>0.8</v>
      </c>
      <c r="O14" s="2">
        <v>-44</v>
      </c>
      <c r="P14" s="2">
        <v>-44.6</v>
      </c>
      <c r="Q14" s="2">
        <v>41</v>
      </c>
      <c r="R14" s="2">
        <v>41</v>
      </c>
      <c r="S14" s="2">
        <v>41</v>
      </c>
      <c r="T14" s="2">
        <v>41</v>
      </c>
      <c r="U14" s="2">
        <v>41</v>
      </c>
      <c r="V14" s="2">
        <v>41</v>
      </c>
      <c r="W14" s="2">
        <v>41</v>
      </c>
    </row>
    <row r="15" spans="2:63" ht="15.75" customHeight="1" x14ac:dyDescent="0.25">
      <c r="B15" s="1" t="s">
        <v>28</v>
      </c>
      <c r="C15" s="2">
        <f t="shared" ref="C15:H15" si="17">C13+C14</f>
        <v>2264</v>
      </c>
      <c r="D15" s="2">
        <f t="shared" si="17"/>
        <v>2190.1</v>
      </c>
      <c r="E15" s="2">
        <f t="shared" si="17"/>
        <v>2397.1999999999998</v>
      </c>
      <c r="F15" s="2">
        <f t="shared" si="17"/>
        <v>1418</v>
      </c>
      <c r="G15" s="2">
        <f t="shared" si="17"/>
        <v>1822.1</v>
      </c>
      <c r="H15" s="2">
        <f t="shared" si="17"/>
        <v>2441.9</v>
      </c>
      <c r="O15" s="2">
        <f t="shared" ref="O15:W15" si="18">O13+O14</f>
        <v>6706</v>
      </c>
      <c r="P15" s="2">
        <f t="shared" si="18"/>
        <v>12843.4</v>
      </c>
      <c r="Q15" s="2">
        <f t="shared" si="18"/>
        <v>10410</v>
      </c>
      <c r="R15" s="2">
        <f t="shared" si="18"/>
        <v>10397.550000000005</v>
      </c>
      <c r="S15" s="2">
        <f t="shared" si="18"/>
        <v>12663.439500000008</v>
      </c>
      <c r="T15" s="2">
        <f t="shared" si="18"/>
        <v>13486.014435000008</v>
      </c>
      <c r="U15" s="2">
        <f t="shared" si="18"/>
        <v>14354.579201550006</v>
      </c>
      <c r="V15" s="2">
        <f t="shared" si="18"/>
        <v>16306.427313787513</v>
      </c>
      <c r="W15" s="2">
        <f t="shared" si="18"/>
        <v>15215.892902296873</v>
      </c>
    </row>
    <row r="16" spans="2:63" ht="15.75" customHeight="1" x14ac:dyDescent="0.25">
      <c r="B16" s="1" t="s">
        <v>29</v>
      </c>
      <c r="C16" s="2">
        <v>403</v>
      </c>
      <c r="D16" s="2">
        <v>343</v>
      </c>
      <c r="E16" s="2">
        <v>385</v>
      </c>
      <c r="F16" s="2">
        <v>224</v>
      </c>
      <c r="G16" s="2">
        <v>291</v>
      </c>
      <c r="H16" s="2">
        <v>441</v>
      </c>
      <c r="O16" s="2">
        <v>1021</v>
      </c>
      <c r="P16" s="2">
        <v>969</v>
      </c>
      <c r="Q16" s="2">
        <v>1435</v>
      </c>
      <c r="R16" s="2">
        <v>1435</v>
      </c>
      <c r="S16" s="2">
        <v>1435</v>
      </c>
      <c r="T16" s="2">
        <v>1435</v>
      </c>
      <c r="U16" s="2">
        <v>1435</v>
      </c>
      <c r="V16" s="2">
        <v>1435</v>
      </c>
      <c r="W16" s="2">
        <v>1435</v>
      </c>
    </row>
    <row r="17" spans="2:63" ht="15.75" customHeight="1" x14ac:dyDescent="0.25">
      <c r="B17" s="1" t="s">
        <v>30</v>
      </c>
      <c r="C17" s="2">
        <f t="shared" ref="C17:H17" si="19">C15-C16</f>
        <v>1861</v>
      </c>
      <c r="D17" s="2">
        <f t="shared" si="19"/>
        <v>1847.1</v>
      </c>
      <c r="E17" s="2">
        <f t="shared" si="19"/>
        <v>2012.1999999999998</v>
      </c>
      <c r="F17" s="2">
        <f t="shared" si="19"/>
        <v>1194</v>
      </c>
      <c r="G17" s="2">
        <f t="shared" si="19"/>
        <v>1531.1</v>
      </c>
      <c r="H17" s="2">
        <f t="shared" si="19"/>
        <v>2000.9</v>
      </c>
      <c r="O17" s="2">
        <f t="shared" ref="O17:W17" si="20">O15-O16</f>
        <v>5685</v>
      </c>
      <c r="P17" s="2">
        <f t="shared" si="20"/>
        <v>11874.4</v>
      </c>
      <c r="Q17" s="2">
        <f t="shared" si="20"/>
        <v>8975</v>
      </c>
      <c r="R17" s="2">
        <f t="shared" si="20"/>
        <v>8962.5500000000047</v>
      </c>
      <c r="S17" s="2">
        <f t="shared" si="20"/>
        <v>11228.439500000008</v>
      </c>
      <c r="T17" s="2">
        <f t="shared" si="20"/>
        <v>12051.014435000008</v>
      </c>
      <c r="U17" s="2">
        <f t="shared" si="20"/>
        <v>12919.579201550006</v>
      </c>
      <c r="V17" s="2">
        <f t="shared" si="20"/>
        <v>14871.427313787513</v>
      </c>
      <c r="W17" s="2">
        <f t="shared" si="20"/>
        <v>13780.892902296873</v>
      </c>
    </row>
    <row r="18" spans="2:63" ht="15.75" customHeight="1" x14ac:dyDescent="0.25">
      <c r="B18" s="1" t="s">
        <v>31</v>
      </c>
      <c r="C18" s="2">
        <v>65</v>
      </c>
      <c r="D18" s="2">
        <v>47</v>
      </c>
      <c r="E18" s="2">
        <v>36.6</v>
      </c>
      <c r="F18" s="2">
        <v>30</v>
      </c>
      <c r="G18" s="2">
        <v>46.8</v>
      </c>
      <c r="H18" s="2">
        <v>77.3</v>
      </c>
      <c r="O18" s="2">
        <v>199</v>
      </c>
      <c r="P18" s="2">
        <v>138</v>
      </c>
      <c r="Q18" s="2">
        <v>191</v>
      </c>
      <c r="R18" s="2">
        <v>191</v>
      </c>
      <c r="S18" s="2">
        <v>191</v>
      </c>
      <c r="T18" s="2">
        <v>191</v>
      </c>
      <c r="U18" s="2">
        <v>191</v>
      </c>
      <c r="V18" s="2">
        <v>191</v>
      </c>
      <c r="W18" s="2">
        <v>191</v>
      </c>
    </row>
    <row r="19" spans="2:63" ht="15.75" customHeight="1" x14ac:dyDescent="0.25">
      <c r="B19" s="1" t="s">
        <v>32</v>
      </c>
      <c r="C19" s="2">
        <f t="shared" ref="C19:H19" si="21">C18+C17</f>
        <v>1926</v>
      </c>
      <c r="D19" s="2">
        <f t="shared" si="21"/>
        <v>1894.1</v>
      </c>
      <c r="E19" s="2">
        <f t="shared" si="21"/>
        <v>2048.7999999999997</v>
      </c>
      <c r="F19" s="2">
        <f t="shared" si="21"/>
        <v>1224</v>
      </c>
      <c r="G19" s="2">
        <f t="shared" si="21"/>
        <v>1577.8999999999999</v>
      </c>
      <c r="H19" s="2">
        <f t="shared" si="21"/>
        <v>2078.2000000000003</v>
      </c>
      <c r="O19" s="2">
        <f t="shared" ref="O19:W19" si="22">O18+O17</f>
        <v>5884</v>
      </c>
      <c r="P19" s="2">
        <f t="shared" si="22"/>
        <v>12012.4</v>
      </c>
      <c r="Q19" s="2">
        <f t="shared" si="22"/>
        <v>9166</v>
      </c>
      <c r="R19" s="2">
        <f t="shared" si="22"/>
        <v>9153.5500000000047</v>
      </c>
      <c r="S19" s="2">
        <f t="shared" si="22"/>
        <v>11419.439500000008</v>
      </c>
      <c r="T19" s="2">
        <f t="shared" si="22"/>
        <v>12242.014435000008</v>
      </c>
      <c r="U19" s="2">
        <f t="shared" si="22"/>
        <v>13110.579201550006</v>
      </c>
      <c r="V19" s="2">
        <f t="shared" si="22"/>
        <v>15062.427313787513</v>
      </c>
      <c r="W19" s="2">
        <f t="shared" si="22"/>
        <v>13971.892902296873</v>
      </c>
      <c r="X19" s="1">
        <f t="shared" ref="X19:BK19" si="23">W19*(1+ $Z$25)</f>
        <v>14391.04968936578</v>
      </c>
      <c r="Y19" s="1">
        <f t="shared" si="23"/>
        <v>14822.781180046753</v>
      </c>
      <c r="Z19" s="1">
        <f t="shared" si="23"/>
        <v>15267.464615448156</v>
      </c>
      <c r="AA19" s="1">
        <f t="shared" si="23"/>
        <v>15725.4885539116</v>
      </c>
      <c r="AB19" s="1">
        <f t="shared" si="23"/>
        <v>16197.253210528948</v>
      </c>
      <c r="AC19" s="1">
        <f t="shared" si="23"/>
        <v>16683.170806844817</v>
      </c>
      <c r="AD19" s="1">
        <f t="shared" si="23"/>
        <v>17183.665931050164</v>
      </c>
      <c r="AE19" s="1">
        <f t="shared" si="23"/>
        <v>17699.17590898167</v>
      </c>
      <c r="AF19" s="1">
        <f t="shared" si="23"/>
        <v>18230.151186251122</v>
      </c>
      <c r="AG19" s="1">
        <f t="shared" si="23"/>
        <v>18777.055721838657</v>
      </c>
      <c r="AH19" s="1">
        <f t="shared" si="23"/>
        <v>19340.367393493816</v>
      </c>
      <c r="AI19" s="1">
        <f t="shared" si="23"/>
        <v>19920.578415298631</v>
      </c>
      <c r="AJ19" s="1">
        <f t="shared" si="23"/>
        <v>20518.195767757592</v>
      </c>
      <c r="AK19" s="1">
        <f t="shared" si="23"/>
        <v>21133.741640790322</v>
      </c>
      <c r="AL19" s="1">
        <f t="shared" si="23"/>
        <v>21767.753890014032</v>
      </c>
      <c r="AM19" s="1">
        <f t="shared" si="23"/>
        <v>22420.786506714452</v>
      </c>
      <c r="AN19" s="1">
        <f t="shared" si="23"/>
        <v>23093.410101915888</v>
      </c>
      <c r="AO19" s="1">
        <f t="shared" si="23"/>
        <v>23786.212404973365</v>
      </c>
      <c r="AP19" s="1">
        <f t="shared" si="23"/>
        <v>24499.798777122567</v>
      </c>
      <c r="AQ19" s="1">
        <f t="shared" si="23"/>
        <v>25234.792740436245</v>
      </c>
      <c r="AR19" s="1">
        <f t="shared" si="23"/>
        <v>25991.836522649333</v>
      </c>
      <c r="AS19" s="1">
        <f t="shared" si="23"/>
        <v>26771.591618328814</v>
      </c>
      <c r="AT19" s="1">
        <f t="shared" si="23"/>
        <v>27574.739366878679</v>
      </c>
      <c r="AU19" s="1">
        <f t="shared" si="23"/>
        <v>28401.98154788504</v>
      </c>
      <c r="AV19" s="1">
        <f t="shared" si="23"/>
        <v>29254.040994321593</v>
      </c>
      <c r="AW19" s="1">
        <f t="shared" si="23"/>
        <v>30131.662224151241</v>
      </c>
      <c r="AX19" s="1">
        <f t="shared" si="23"/>
        <v>31035.61209087578</v>
      </c>
      <c r="AY19" s="1">
        <f t="shared" si="23"/>
        <v>31966.680453602054</v>
      </c>
      <c r="AZ19" s="1">
        <f t="shared" si="23"/>
        <v>32925.680867210118</v>
      </c>
      <c r="BA19" s="1">
        <f t="shared" si="23"/>
        <v>33913.451293226419</v>
      </c>
      <c r="BB19" s="1">
        <f t="shared" si="23"/>
        <v>34930.854832023215</v>
      </c>
      <c r="BC19" s="1">
        <f t="shared" si="23"/>
        <v>35978.780476983913</v>
      </c>
      <c r="BD19" s="1">
        <f t="shared" si="23"/>
        <v>37058.143891293432</v>
      </c>
      <c r="BE19" s="1">
        <f t="shared" si="23"/>
        <v>38169.888208032236</v>
      </c>
      <c r="BF19" s="1">
        <f t="shared" si="23"/>
        <v>39314.984854273207</v>
      </c>
      <c r="BG19" s="1">
        <f t="shared" si="23"/>
        <v>40494.434399901402</v>
      </c>
      <c r="BH19" s="1">
        <f t="shared" si="23"/>
        <v>41709.267431898443</v>
      </c>
      <c r="BI19" s="1">
        <f t="shared" si="23"/>
        <v>42960.545454855397</v>
      </c>
      <c r="BJ19" s="1">
        <f t="shared" si="23"/>
        <v>44249.361818501064</v>
      </c>
      <c r="BK19" s="1">
        <f t="shared" si="23"/>
        <v>45576.842673056097</v>
      </c>
    </row>
    <row r="20" spans="2:63" ht="15.75" customHeight="1" x14ac:dyDescent="0.25">
      <c r="B20" s="1" t="s">
        <v>33</v>
      </c>
      <c r="C20" s="2">
        <v>14.36</v>
      </c>
      <c r="D20" s="2">
        <v>14.36</v>
      </c>
      <c r="E20" s="2">
        <v>14.36</v>
      </c>
      <c r="F20" s="2">
        <v>3</v>
      </c>
      <c r="G20" s="2">
        <v>4</v>
      </c>
      <c r="H20" s="2">
        <v>5.28</v>
      </c>
      <c r="O20" s="2">
        <v>14.36</v>
      </c>
      <c r="P20" s="2">
        <v>14.36</v>
      </c>
      <c r="Q20" s="2">
        <v>19.91</v>
      </c>
      <c r="R20" s="2">
        <v>19.91</v>
      </c>
      <c r="S20" s="2">
        <v>19.91</v>
      </c>
      <c r="T20" s="2">
        <v>19.91</v>
      </c>
      <c r="U20" s="2">
        <v>19.91</v>
      </c>
      <c r="V20" s="2">
        <v>19.91</v>
      </c>
      <c r="W20" s="2">
        <v>19.91</v>
      </c>
    </row>
    <row r="22" spans="2:63" ht="15.75" customHeight="1" x14ac:dyDescent="0.25">
      <c r="B22" s="1" t="s">
        <v>34</v>
      </c>
      <c r="D22" s="5">
        <f t="shared" ref="D22:H22" si="24">D5/C5-1</f>
        <v>-3.3323674297305095E-2</v>
      </c>
      <c r="E22" s="5">
        <f t="shared" si="24"/>
        <v>8.4532374100719343E-2</v>
      </c>
      <c r="F22" s="5">
        <f t="shared" si="24"/>
        <v>-0.2690713101160862</v>
      </c>
      <c r="G22" s="5">
        <f t="shared" si="24"/>
        <v>0.1799962185668369</v>
      </c>
      <c r="H22" s="5">
        <f t="shared" si="24"/>
        <v>0.19644287774395131</v>
      </c>
      <c r="P22" s="5">
        <f t="shared" ref="P22:W22" si="25">P5/O5-1</f>
        <v>0.48087049973132734</v>
      </c>
      <c r="Q22" s="5">
        <f t="shared" si="25"/>
        <v>2.5508908160673416E-2</v>
      </c>
      <c r="R22" s="5">
        <f t="shared" si="25"/>
        <v>0.10000000000000009</v>
      </c>
      <c r="S22" s="5">
        <f t="shared" si="25"/>
        <v>9.540442997664722E-2</v>
      </c>
      <c r="T22" s="5">
        <f t="shared" si="25"/>
        <v>4.5469056460428092E-2</v>
      </c>
      <c r="U22" s="5">
        <f t="shared" si="25"/>
        <v>4.5536097585174407E-2</v>
      </c>
      <c r="V22" s="5">
        <f t="shared" si="25"/>
        <v>7.3403643119702711E-2</v>
      </c>
      <c r="W22" s="5">
        <f t="shared" si="25"/>
        <v>0.10120792085875063</v>
      </c>
    </row>
    <row r="23" spans="2:63" ht="15.75" customHeight="1" x14ac:dyDescent="0.25">
      <c r="B23" s="1" t="s">
        <v>35</v>
      </c>
      <c r="D23" s="5">
        <f t="shared" ref="D23:H23" si="26">D9/D5</f>
        <v>0.51873501199040772</v>
      </c>
      <c r="E23" s="5">
        <f t="shared" si="26"/>
        <v>0.51368159203980102</v>
      </c>
      <c r="F23" s="5">
        <f t="shared" si="26"/>
        <v>0.50973719039515974</v>
      </c>
      <c r="G23" s="5">
        <f t="shared" si="26"/>
        <v>0.51450088126902738</v>
      </c>
      <c r="H23" s="5">
        <f t="shared" si="26"/>
        <v>0.50798178652738712</v>
      </c>
      <c r="O23" s="5">
        <f t="shared" ref="O23:W23" si="27">O9/O5</f>
        <v>0.52708221386351428</v>
      </c>
      <c r="P23" s="5">
        <f t="shared" si="27"/>
        <v>0.61997895424362282</v>
      </c>
      <c r="Q23" s="5">
        <f t="shared" si="27"/>
        <v>0.54709503927535208</v>
      </c>
      <c r="R23" s="5">
        <f t="shared" si="27"/>
        <v>0.50514986393551253</v>
      </c>
      <c r="S23" s="5">
        <f t="shared" si="27"/>
        <v>0.53554327237395327</v>
      </c>
      <c r="T23" s="5">
        <f t="shared" si="27"/>
        <v>0.5432417608901664</v>
      </c>
      <c r="U23" s="5">
        <f t="shared" si="27"/>
        <v>0.5508350145686367</v>
      </c>
      <c r="V23" s="5">
        <f t="shared" si="27"/>
        <v>0.56976320910172729</v>
      </c>
      <c r="W23" s="5">
        <f t="shared" si="27"/>
        <v>0.5</v>
      </c>
    </row>
    <row r="24" spans="2:63" ht="15.75" customHeight="1" x14ac:dyDescent="0.25">
      <c r="B24" s="1" t="s">
        <v>36</v>
      </c>
    </row>
    <row r="25" spans="2:63" ht="15.75" customHeight="1" x14ac:dyDescent="0.25">
      <c r="Y25" s="1" t="s">
        <v>37</v>
      </c>
      <c r="Z25" s="5">
        <v>0.03</v>
      </c>
    </row>
    <row r="26" spans="2:63" ht="15.75" customHeight="1" x14ac:dyDescent="0.25">
      <c r="Y26" s="1" t="s">
        <v>38</v>
      </c>
      <c r="Z26" s="6">
        <v>7.0000000000000007E-2</v>
      </c>
    </row>
    <row r="27" spans="2:63" ht="15.75" customHeight="1" x14ac:dyDescent="0.25">
      <c r="Y27" s="1" t="s">
        <v>39</v>
      </c>
    </row>
    <row r="28" spans="2:63" ht="15.75" customHeight="1" x14ac:dyDescent="0.25">
      <c r="Y28" s="1" t="s">
        <v>40</v>
      </c>
      <c r="Z28" s="7">
        <f t="array" ref="Z28">NPV(Z26,Q19:BK19,+Main!H5-Main!H6)</f>
        <v>238657.85407777817</v>
      </c>
    </row>
    <row r="29" spans="2:63" ht="15.75" customHeight="1" x14ac:dyDescent="0.25">
      <c r="Y29" s="1" t="s">
        <v>41</v>
      </c>
      <c r="Z29" s="1">
        <f>Z28/Main!H3</f>
        <v>605.73059410603594</v>
      </c>
    </row>
    <row r="36" spans="24:27" ht="12.5" x14ac:dyDescent="0.25">
      <c r="X36" s="1" t="s">
        <v>42</v>
      </c>
      <c r="Y36" s="1">
        <v>40</v>
      </c>
      <c r="Z36" s="1">
        <v>45</v>
      </c>
      <c r="AA36" s="1">
        <v>60</v>
      </c>
    </row>
    <row r="37" spans="24:27" ht="12.5" x14ac:dyDescent="0.25">
      <c r="X37" s="6">
        <v>0.5</v>
      </c>
      <c r="Y37" s="8">
        <v>547</v>
      </c>
      <c r="Z37" s="9">
        <v>628</v>
      </c>
      <c r="AA37" s="10">
        <v>881</v>
      </c>
    </row>
    <row r="38" spans="24:27" ht="12.5" x14ac:dyDescent="0.25">
      <c r="X38" s="6">
        <v>0.55000000000000004</v>
      </c>
      <c r="Y38" s="8">
        <v>614</v>
      </c>
      <c r="Z38" s="9">
        <v>703</v>
      </c>
      <c r="AA38" s="10">
        <v>981</v>
      </c>
    </row>
    <row r="39" spans="24:27" ht="12.5" x14ac:dyDescent="0.25">
      <c r="X39" s="6">
        <v>0.6</v>
      </c>
      <c r="Y39" s="8">
        <v>681</v>
      </c>
      <c r="Z39" s="10">
        <v>781</v>
      </c>
      <c r="AA39" s="10">
        <v>1082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Medina Resende de Oliveira</cp:lastModifiedBy>
  <dcterms:modified xsi:type="dcterms:W3CDTF">2025-05-28T10:27:13Z</dcterms:modified>
</cp:coreProperties>
</file>