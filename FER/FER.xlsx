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models\FER\"/>
    </mc:Choice>
  </mc:AlternateContent>
  <xr:revisionPtr revIDLastSave="0" documentId="13_ncr:1_{5317E7CE-0122-4346-861A-8BFC56F354B8}" xr6:coauthVersionLast="47" xr6:coauthVersionMax="47" xr10:uidLastSave="{00000000-0000-0000-0000-000000000000}"/>
  <bookViews>
    <workbookView xWindow="19200" yWindow="3480" windowWidth="13650" windowHeight="14580" activeTab="1" xr2:uid="{00000000-000D-0000-FFFF-FFFF0000000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5" i="2" l="1"/>
  <c r="X25" i="2"/>
  <c r="W25" i="2"/>
  <c r="AE20" i="2"/>
  <c r="AF20" i="2" s="1"/>
  <c r="Z20" i="2"/>
  <c r="AA20" i="2" s="1"/>
  <c r="AB20" i="2" s="1"/>
  <c r="AC20" i="2" s="1"/>
  <c r="AD20" i="2" s="1"/>
  <c r="P6" i="1"/>
  <c r="N5" i="1" s="1"/>
  <c r="R27" i="2"/>
  <c r="S27" i="2"/>
  <c r="S25" i="2"/>
  <c r="AG20" i="2" l="1"/>
  <c r="AH20" i="2" s="1"/>
  <c r="AI20" i="2" s="1"/>
  <c r="AJ20" i="2" s="1"/>
  <c r="AK20" i="2" s="1"/>
  <c r="AL20" i="2" s="1"/>
  <c r="AM20" i="2" s="1"/>
  <c r="AN20" i="2" s="1"/>
  <c r="AO20" i="2" s="1"/>
  <c r="AP20" i="2" s="1"/>
  <c r="AQ20" i="2" s="1"/>
  <c r="AR20" i="2" s="1"/>
  <c r="AS20" i="2" s="1"/>
  <c r="AT20" i="2" s="1"/>
  <c r="AU20" i="2" s="1"/>
  <c r="AV20" i="2" s="1"/>
  <c r="AW20" i="2" s="1"/>
  <c r="AX20" i="2" s="1"/>
  <c r="AY20" i="2" s="1"/>
  <c r="AZ20" i="2" s="1"/>
  <c r="BA20" i="2" s="1"/>
  <c r="BB20" i="2" s="1"/>
  <c r="BC20" i="2" s="1"/>
  <c r="BD20" i="2" s="1"/>
  <c r="BE20" i="2" s="1"/>
  <c r="BF20" i="2" s="1"/>
  <c r="BG20" i="2" s="1"/>
  <c r="BH20" i="2" s="1"/>
  <c r="BI20" i="2" s="1"/>
  <c r="BJ20" i="2" s="1"/>
  <c r="BK20" i="2" s="1"/>
  <c r="BL20" i="2" s="1"/>
  <c r="BM20" i="2" s="1"/>
  <c r="BN20" i="2" s="1"/>
  <c r="BO20" i="2" s="1"/>
  <c r="BP20" i="2" s="1"/>
  <c r="BQ20" i="2" s="1"/>
  <c r="BR20" i="2" s="1"/>
  <c r="BS20" i="2" s="1"/>
  <c r="BT20" i="2" s="1"/>
  <c r="BU20" i="2" s="1"/>
  <c r="BV20" i="2" s="1"/>
  <c r="BW20" i="2" s="1"/>
  <c r="BX20" i="2" s="1"/>
  <c r="BY20" i="2" s="1"/>
  <c r="BZ20" i="2" s="1"/>
  <c r="CA20" i="2" s="1"/>
  <c r="CB20" i="2" s="1"/>
  <c r="CC20" i="2" s="1"/>
  <c r="CD20" i="2" s="1"/>
  <c r="CE20" i="2" s="1"/>
  <c r="CF20" i="2" s="1"/>
  <c r="CG20" i="2" s="1"/>
  <c r="CH20" i="2" s="1"/>
  <c r="CI20" i="2" s="1"/>
  <c r="CJ20" i="2" s="1"/>
  <c r="CK20" i="2" s="1"/>
  <c r="CL20" i="2" s="1"/>
  <c r="CM20" i="2" s="1"/>
  <c r="CN20" i="2" s="1"/>
  <c r="CO20" i="2" s="1"/>
  <c r="CP20" i="2" s="1"/>
  <c r="CQ20" i="2" s="1"/>
  <c r="CR20" i="2" s="1"/>
  <c r="CS20" i="2" s="1"/>
  <c r="CT20" i="2" s="1"/>
  <c r="CU20" i="2" s="1"/>
  <c r="CV20" i="2" s="1"/>
  <c r="CW20" i="2" s="1"/>
  <c r="CX20" i="2" s="1"/>
  <c r="CY20" i="2" s="1"/>
  <c r="CZ20" i="2" s="1"/>
  <c r="DA20" i="2" s="1"/>
  <c r="DB20" i="2" s="1"/>
  <c r="DC20" i="2" s="1"/>
  <c r="DD20" i="2" s="1"/>
  <c r="DE20" i="2" s="1"/>
  <c r="DF20" i="2" s="1"/>
  <c r="DG20" i="2" s="1"/>
  <c r="DH20" i="2" s="1"/>
  <c r="L19" i="2"/>
  <c r="L20" i="2" s="1"/>
  <c r="M7" i="2"/>
  <c r="W1" i="2" l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AN1" i="2" s="1"/>
  <c r="AO1" i="2" s="1"/>
  <c r="AP1" i="2" s="1"/>
  <c r="AQ1" i="2" s="1"/>
  <c r="AR1" i="2" s="1"/>
  <c r="AS1" i="2" s="1"/>
  <c r="AT1" i="2" s="1"/>
  <c r="AU1" i="2" s="1"/>
  <c r="AV1" i="2" s="1"/>
  <c r="AW1" i="2" s="1"/>
  <c r="AX1" i="2" s="1"/>
  <c r="AY1" i="2" s="1"/>
  <c r="AZ1" i="2" s="1"/>
  <c r="BA1" i="2" s="1"/>
  <c r="BB1" i="2" s="1"/>
  <c r="BC1" i="2" s="1"/>
  <c r="BD1" i="2" s="1"/>
  <c r="BE1" i="2" s="1"/>
  <c r="BF1" i="2" s="1"/>
  <c r="BG1" i="2" s="1"/>
  <c r="BH1" i="2" s="1"/>
  <c r="BI1" i="2" s="1"/>
  <c r="BJ1" i="2" s="1"/>
  <c r="BK1" i="2" s="1"/>
  <c r="BL1" i="2" s="1"/>
  <c r="BM1" i="2" s="1"/>
  <c r="BN1" i="2" s="1"/>
  <c r="BO1" i="2" s="1"/>
  <c r="BP1" i="2" s="1"/>
  <c r="BQ1" i="2" s="1"/>
  <c r="BR1" i="2" s="1"/>
  <c r="BS1" i="2" s="1"/>
  <c r="BT1" i="2" s="1"/>
  <c r="BU1" i="2" s="1"/>
  <c r="BV1" i="2" s="1"/>
  <c r="BW1" i="2" s="1"/>
  <c r="BX1" i="2" s="1"/>
  <c r="BY1" i="2" s="1"/>
  <c r="BZ1" i="2" s="1"/>
  <c r="CA1" i="2" s="1"/>
  <c r="CB1" i="2" s="1"/>
  <c r="CC1" i="2" s="1"/>
  <c r="CD1" i="2" s="1"/>
  <c r="CE1" i="2" s="1"/>
  <c r="CF1" i="2" s="1"/>
  <c r="CG1" i="2" s="1"/>
  <c r="CH1" i="2" s="1"/>
  <c r="CI1" i="2" s="1"/>
  <c r="CJ1" i="2" s="1"/>
  <c r="CK1" i="2" s="1"/>
  <c r="CL1" i="2" s="1"/>
  <c r="CM1" i="2" s="1"/>
  <c r="CN1" i="2" s="1"/>
  <c r="CO1" i="2" s="1"/>
  <c r="CP1" i="2" s="1"/>
  <c r="CQ1" i="2" s="1"/>
  <c r="CR1" i="2" s="1"/>
  <c r="CS1" i="2" s="1"/>
  <c r="CT1" i="2" s="1"/>
  <c r="CU1" i="2" s="1"/>
  <c r="CV1" i="2" s="1"/>
  <c r="CW1" i="2" s="1"/>
  <c r="CX1" i="2" s="1"/>
  <c r="CY1" i="2" s="1"/>
  <c r="CZ1" i="2" s="1"/>
  <c r="DA1" i="2" s="1"/>
  <c r="DB1" i="2" s="1"/>
  <c r="DC1" i="2" s="1"/>
  <c r="DD1" i="2" s="1"/>
  <c r="DE1" i="2" s="1"/>
  <c r="DF1" i="2" s="1"/>
  <c r="DG1" i="2" s="1"/>
  <c r="DH1" i="2" s="1"/>
  <c r="I7" i="2"/>
  <c r="M25" i="2" s="1"/>
  <c r="H7" i="2"/>
  <c r="L7" i="2"/>
  <c r="V33" i="2"/>
  <c r="U33" i="2"/>
  <c r="V30" i="2"/>
  <c r="V31" i="2" s="1"/>
  <c r="U30" i="2"/>
  <c r="U31" i="2" s="1"/>
  <c r="T30" i="2"/>
  <c r="T31" i="2" s="1"/>
  <c r="V14" i="2"/>
  <c r="U14" i="2"/>
  <c r="T14" i="2"/>
  <c r="V8" i="2"/>
  <c r="V7" i="2"/>
  <c r="U8" i="2"/>
  <c r="U7" i="2"/>
  <c r="U11" i="2" s="1"/>
  <c r="T8" i="2"/>
  <c r="T7" i="2"/>
  <c r="T25" i="2" s="1"/>
  <c r="L8" i="1"/>
  <c r="L7" i="1"/>
  <c r="L5" i="1"/>
  <c r="V25" i="2" l="1"/>
  <c r="W7" i="2"/>
  <c r="L25" i="2"/>
  <c r="T11" i="2"/>
  <c r="T26" i="2" s="1"/>
  <c r="V11" i="2"/>
  <c r="V26" i="2" s="1"/>
  <c r="U34" i="2"/>
  <c r="T16" i="2"/>
  <c r="U16" i="2"/>
  <c r="U26" i="2"/>
  <c r="L12" i="1"/>
  <c r="V34" i="2"/>
  <c r="L11" i="1"/>
  <c r="U25" i="2"/>
  <c r="X7" i="2" l="1"/>
  <c r="U18" i="2"/>
  <c r="U20" i="2" s="1"/>
  <c r="U27" i="2" s="1"/>
  <c r="T18" i="2"/>
  <c r="T20" i="2" s="1"/>
  <c r="T27" i="2" s="1"/>
  <c r="V16" i="2"/>
  <c r="Y7" i="2" l="1"/>
  <c r="V18" i="2"/>
  <c r="V20" i="2" s="1"/>
  <c r="V27" i="2" s="1"/>
  <c r="U21" i="2"/>
  <c r="L13" i="1"/>
  <c r="Z7" i="2" l="1"/>
  <c r="V21" i="2"/>
  <c r="W20" i="2"/>
  <c r="AA7" i="2" l="1"/>
  <c r="W21" i="2"/>
  <c r="X20" i="2"/>
  <c r="AB7" i="2" l="1"/>
  <c r="Y20" i="2"/>
  <c r="X21" i="2"/>
  <c r="AC7" i="2" l="1"/>
  <c r="Y21" i="2"/>
  <c r="AD7" i="2" l="1"/>
  <c r="Z21" i="2"/>
  <c r="AE7" i="2" l="1"/>
  <c r="AA21" i="2"/>
  <c r="AF7" i="2" l="1"/>
  <c r="AB21" i="2"/>
  <c r="AG7" i="2" l="1"/>
  <c r="AC21" i="2"/>
  <c r="AH7" i="2" l="1"/>
  <c r="AD21" i="2"/>
  <c r="AI7" i="2" l="1"/>
  <c r="AE21" i="2"/>
  <c r="AJ7" i="2" l="1"/>
  <c r="AF21" i="2"/>
  <c r="AK7" i="2" l="1"/>
  <c r="AG21" i="2"/>
  <c r="AL7" i="2" l="1"/>
  <c r="AH21" i="2"/>
  <c r="AM7" i="2" l="1"/>
  <c r="AI21" i="2"/>
  <c r="AN7" i="2" l="1"/>
  <c r="AJ21" i="2"/>
  <c r="AO7" i="2" l="1"/>
  <c r="AK21" i="2"/>
  <c r="AP7" i="2" l="1"/>
  <c r="AL21" i="2"/>
  <c r="AQ7" i="2" l="1"/>
  <c r="AM21" i="2"/>
  <c r="AR7" i="2" l="1"/>
  <c r="AN21" i="2"/>
  <c r="AS7" i="2" l="1"/>
  <c r="AO21" i="2"/>
  <c r="AT7" i="2" l="1"/>
  <c r="AP21" i="2"/>
  <c r="AU7" i="2" l="1"/>
  <c r="AQ21" i="2"/>
  <c r="AV7" i="2" l="1"/>
  <c r="AR21" i="2"/>
  <c r="AW7" i="2" l="1"/>
  <c r="AS21" i="2"/>
  <c r="AX7" i="2" l="1"/>
  <c r="AT21" i="2"/>
  <c r="AY7" i="2" l="1"/>
  <c r="AA27" i="2"/>
  <c r="AU21" i="2"/>
  <c r="AZ7" i="2" l="1"/>
  <c r="BA7" i="2" l="1"/>
  <c r="BB7" i="2" l="1"/>
  <c r="BC7" i="2" l="1"/>
  <c r="BD7" i="2" l="1"/>
  <c r="BE7" i="2" l="1"/>
  <c r="BF7" i="2" l="1"/>
  <c r="BG7" i="2" l="1"/>
  <c r="BH7" i="2" l="1"/>
  <c r="BI7" i="2" l="1"/>
  <c r="BJ7" i="2" l="1"/>
  <c r="BK7" i="2" l="1"/>
  <c r="BL7" i="2" l="1"/>
  <c r="BM7" i="2" l="1"/>
  <c r="BN7" i="2" l="1"/>
  <c r="BO7" i="2" l="1"/>
  <c r="BP7" i="2" l="1"/>
  <c r="BQ7" i="2" l="1"/>
  <c r="BR7" i="2" l="1"/>
  <c r="BS7" i="2" l="1"/>
  <c r="BT7" i="2" l="1"/>
  <c r="BU7" i="2" l="1"/>
  <c r="BV7" i="2" l="1"/>
  <c r="BW7" i="2" l="1"/>
  <c r="BX7" i="2" l="1"/>
  <c r="BY7" i="2" l="1"/>
  <c r="BZ7" i="2" l="1"/>
  <c r="CA7" i="2" l="1"/>
  <c r="CB7" i="2" l="1"/>
  <c r="CC7" i="2" l="1"/>
  <c r="CD7" i="2" l="1"/>
  <c r="CE7" i="2" l="1"/>
  <c r="CF7" i="2" l="1"/>
  <c r="CG7" i="2" l="1"/>
  <c r="CH7" i="2" l="1"/>
  <c r="CI7" i="2" l="1"/>
  <c r="CJ7" i="2" l="1"/>
  <c r="CK7" i="2" l="1"/>
  <c r="CL7" i="2" l="1"/>
  <c r="CM7" i="2" l="1"/>
  <c r="CN7" i="2" l="1"/>
  <c r="CO7" i="2" l="1"/>
  <c r="CP7" i="2" l="1"/>
  <c r="CQ7" i="2" l="1"/>
  <c r="CR7" i="2" l="1"/>
  <c r="CS7" i="2" l="1"/>
  <c r="CT7" i="2" l="1"/>
  <c r="CU7" i="2" l="1"/>
  <c r="CV7" i="2" l="1"/>
  <c r="CW7" i="2" l="1"/>
  <c r="CX7" i="2" l="1"/>
  <c r="CY7" i="2" l="1"/>
  <c r="CZ7" i="2" l="1"/>
  <c r="DA7" i="2" l="1"/>
  <c r="DB7" i="2" l="1"/>
  <c r="DC7" i="2" l="1"/>
  <c r="DD7" i="2" l="1"/>
  <c r="DE7" i="2" l="1"/>
  <c r="DF7" i="2" l="1"/>
  <c r="DG7" i="2" l="1"/>
  <c r="DH7" i="2" l="1"/>
  <c r="AA28" i="2" s="1"/>
  <c r="AA30" i="2" s="1"/>
</calcChain>
</file>

<file path=xl/sharedStrings.xml><?xml version="1.0" encoding="utf-8"?>
<sst xmlns="http://schemas.openxmlformats.org/spreadsheetml/2006/main" count="67" uniqueCount="63">
  <si>
    <t>Price</t>
  </si>
  <si>
    <t>Shares</t>
  </si>
  <si>
    <t>MC</t>
  </si>
  <si>
    <t>Cash</t>
  </si>
  <si>
    <t>Debt</t>
  </si>
  <si>
    <t>EV</t>
  </si>
  <si>
    <t>EUR</t>
  </si>
  <si>
    <t>USD</t>
  </si>
  <si>
    <t>Revenue</t>
  </si>
  <si>
    <t>Operating expenses</t>
  </si>
  <si>
    <t>Impariement and disposal of fixed assets</t>
  </si>
  <si>
    <t>Operating profit</t>
  </si>
  <si>
    <t>Net financial income from infrastructure projects</t>
  </si>
  <si>
    <t>Net financial income from ex-infrastructure projects</t>
  </si>
  <si>
    <t>Net financial income</t>
  </si>
  <si>
    <t>Share of profits of equity accounted companies</t>
  </si>
  <si>
    <t>Profit (loss) before tax</t>
  </si>
  <si>
    <t>Intome\(expense) tax</t>
  </si>
  <si>
    <t>After tax profit</t>
  </si>
  <si>
    <t>discontinued operations</t>
  </si>
  <si>
    <t>Net profit</t>
  </si>
  <si>
    <t>revenue y/y</t>
  </si>
  <si>
    <t>gross margin</t>
  </si>
  <si>
    <t>check note 2.3 I nfinancial report for large impairment</t>
  </si>
  <si>
    <t>CFFO</t>
  </si>
  <si>
    <t>CAPEX</t>
  </si>
  <si>
    <t>FCF</t>
  </si>
  <si>
    <t>FCF y/y</t>
  </si>
  <si>
    <t>CFFO y/y</t>
  </si>
  <si>
    <t>price to sales</t>
  </si>
  <si>
    <t>price to FCF</t>
  </si>
  <si>
    <t>price to ni</t>
  </si>
  <si>
    <t xml:space="preserve">Focuses on the development and operation of sustainable </t>
  </si>
  <si>
    <t>infastructure, through the integration of Toll Roads, Airports,</t>
  </si>
  <si>
    <t>Consutrciton and Energy.</t>
  </si>
  <si>
    <t>Cintra manages toll roads</t>
  </si>
  <si>
    <t>Ferrovial Airports</t>
  </si>
  <si>
    <t>49% terminal 1 JFK</t>
  </si>
  <si>
    <t>60% stake in Dalaman</t>
  </si>
  <si>
    <t>5.25% UK Heathrow</t>
  </si>
  <si>
    <t>50% Glasbow, Aberdeen, and Southampton</t>
  </si>
  <si>
    <t>Energy</t>
  </si>
  <si>
    <t>El Berrocal, Spain</t>
  </si>
  <si>
    <t>4Q24</t>
  </si>
  <si>
    <t>2Q24</t>
  </si>
  <si>
    <t>2Q23</t>
  </si>
  <si>
    <t>Fixed asset depreciation</t>
  </si>
  <si>
    <t>3Q24</t>
  </si>
  <si>
    <t>3Q23</t>
  </si>
  <si>
    <t>1Q24</t>
  </si>
  <si>
    <t>Highways</t>
  </si>
  <si>
    <t>Airports</t>
  </si>
  <si>
    <t>Construction</t>
  </si>
  <si>
    <t>Other</t>
  </si>
  <si>
    <t>ROIC</t>
  </si>
  <si>
    <t>Terminal</t>
  </si>
  <si>
    <t>NPV</t>
  </si>
  <si>
    <t>Share</t>
  </si>
  <si>
    <t>Discount</t>
  </si>
  <si>
    <t>2Q2025</t>
  </si>
  <si>
    <t>1Q2025</t>
  </si>
  <si>
    <t>estimated g rate of NI</t>
  </si>
  <si>
    <t>we need to see at least 600 in ni for next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</si>
</sst>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4" fontId="0" fillId="0" borderId="0" xfId="0" applyNumberFormat="1"/>
    <xf numFmtId="3" fontId="0" fillId="0" borderId="0" xfId="0" applyNumberFormat="1"/>
    <xf numFmtId="10" fontId="0" fillId="0" borderId="0" xfId="0" applyNumberFormat="1"/>
    <xf numFmtId="3" fontId="1" fillId="0" borderId="0" xfId="0" applyNumberFormat="1" applyFont="1"/>
    <xf numFmtId="9" fontId="0" fillId="0" borderId="0" xfId="1" applyFont="1"/>
    <xf numFmtId="8" fontId="0" fillId="0" borderId="0" xfId="0" applyNumberFormat="1"/>
    <xf numFmtId="0" fontId="1" fillId="0" borderId="0" xfId="0" applyFont="1"/>
    <xf numFmtId="9" fontId="1" fillId="0" borderId="0" xfId="0" applyNumberFormat="1" applyFont="1"/>
    <xf numFmtId="9" fontId="0" fillId="0" borderId="0" xfId="0" applyNumberFormat="1"/>
    <xf numFmtId="1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19050</xdr:colOff>
      <xdr:row>0</xdr:row>
      <xdr:rowOff>88900</xdr:rowOff>
    </xdr:from>
    <xdr:to>
      <xdr:col>22</xdr:col>
      <xdr:colOff>19050</xdr:colOff>
      <xdr:row>27</xdr:row>
      <xdr:rowOff>31750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ED3D0D4-E9AE-5CC9-5FF8-A3630103B0E2}"/>
            </a:ext>
          </a:extLst>
        </xdr:cNvPr>
        <xdr:cNvCxnSpPr/>
      </xdr:nvCxnSpPr>
      <xdr:spPr>
        <a:xfrm>
          <a:off x="11696700" y="88900"/>
          <a:ext cx="0" cy="509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5"/>
  <sheetViews>
    <sheetView workbookViewId="0">
      <selection activeCell="B2" sqref="B2"/>
    </sheetView>
  </sheetViews>
  <sheetFormatPr defaultRowHeight="14.5" x14ac:dyDescent="0.35"/>
  <cols>
    <col min="11" max="11" width="11.6328125" bestFit="1" customWidth="1"/>
    <col min="12" max="12" width="11.81640625" bestFit="1" customWidth="1"/>
  </cols>
  <sheetData>
    <row r="2" spans="2:17" x14ac:dyDescent="0.35">
      <c r="B2" s="10">
        <v>45873</v>
      </c>
    </row>
    <row r="3" spans="2:17" x14ac:dyDescent="0.35">
      <c r="B3" t="s">
        <v>32</v>
      </c>
      <c r="K3" t="s">
        <v>0</v>
      </c>
      <c r="L3">
        <v>50</v>
      </c>
    </row>
    <row r="4" spans="2:17" x14ac:dyDescent="0.35">
      <c r="B4" t="s">
        <v>33</v>
      </c>
      <c r="K4" t="s">
        <v>1</v>
      </c>
      <c r="L4">
        <v>721.8</v>
      </c>
    </row>
    <row r="5" spans="2:17" x14ac:dyDescent="0.35">
      <c r="B5" t="s">
        <v>34</v>
      </c>
      <c r="K5" t="s">
        <v>2</v>
      </c>
      <c r="L5" s="1">
        <f>L4*L3</f>
        <v>36090</v>
      </c>
      <c r="M5" t="s">
        <v>7</v>
      </c>
      <c r="N5">
        <f>L5*P6</f>
        <v>34738.665896621424</v>
      </c>
      <c r="O5" t="s">
        <v>6</v>
      </c>
      <c r="P5">
        <v>1</v>
      </c>
      <c r="Q5">
        <v>1.0388999999999999</v>
      </c>
    </row>
    <row r="6" spans="2:17" x14ac:dyDescent="0.35">
      <c r="K6" t="s">
        <v>3</v>
      </c>
      <c r="L6" s="1">
        <v>4828</v>
      </c>
      <c r="M6" t="s">
        <v>6</v>
      </c>
      <c r="P6">
        <f>P5/Q5</f>
        <v>0.96255655019732411</v>
      </c>
    </row>
    <row r="7" spans="2:17" x14ac:dyDescent="0.35">
      <c r="B7" t="s">
        <v>35</v>
      </c>
      <c r="K7" t="s">
        <v>4</v>
      </c>
      <c r="L7" s="1">
        <f>10092+165+1196+80</f>
        <v>11533</v>
      </c>
      <c r="M7" t="s">
        <v>6</v>
      </c>
    </row>
    <row r="8" spans="2:17" x14ac:dyDescent="0.35">
      <c r="B8" t="s">
        <v>36</v>
      </c>
      <c r="K8" t="s">
        <v>5</v>
      </c>
      <c r="L8" s="1">
        <f>N5-L6+L7</f>
        <v>41443.665896621424</v>
      </c>
    </row>
    <row r="9" spans="2:17" x14ac:dyDescent="0.35">
      <c r="C9" t="s">
        <v>37</v>
      </c>
    </row>
    <row r="10" spans="2:17" x14ac:dyDescent="0.35">
      <c r="C10" t="s">
        <v>38</v>
      </c>
    </row>
    <row r="11" spans="2:17" x14ac:dyDescent="0.35">
      <c r="C11" t="s">
        <v>39</v>
      </c>
      <c r="K11" t="s">
        <v>29</v>
      </c>
      <c r="L11">
        <f>N5/model!V7</f>
        <v>3.7974055418256913</v>
      </c>
    </row>
    <row r="12" spans="2:17" x14ac:dyDescent="0.35">
      <c r="C12" t="s">
        <v>40</v>
      </c>
      <c r="K12" t="s">
        <v>30</v>
      </c>
      <c r="L12">
        <f>N5/model!V31</f>
        <v>39.430948804337596</v>
      </c>
    </row>
    <row r="13" spans="2:17" x14ac:dyDescent="0.35">
      <c r="B13" t="s">
        <v>41</v>
      </c>
      <c r="K13" t="s">
        <v>31</v>
      </c>
      <c r="L13">
        <f>L5/model!V20</f>
        <v>10.340974212034384</v>
      </c>
    </row>
    <row r="14" spans="2:17" x14ac:dyDescent="0.35">
      <c r="C14" t="s">
        <v>42</v>
      </c>
    </row>
    <row r="15" spans="2:17" x14ac:dyDescent="0.35">
      <c r="K15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09633-BFB4-45F4-A139-476EF8AB6F86}">
  <dimension ref="B1:DH34"/>
  <sheetViews>
    <sheetView tabSelected="1" workbookViewId="0">
      <pane xSplit="2" ySplit="1" topLeftCell="W2" activePane="bottomRight" state="frozen"/>
      <selection pane="topRight" activeCell="C1" sqref="C1"/>
      <selection pane="bottomLeft" activeCell="A2" sqref="A2"/>
      <selection pane="bottomRight" activeCell="W20" sqref="W20"/>
    </sheetView>
  </sheetViews>
  <sheetFormatPr defaultRowHeight="14.5" x14ac:dyDescent="0.35"/>
  <cols>
    <col min="1" max="1" width="7.36328125" customWidth="1"/>
    <col min="2" max="2" width="49" bestFit="1" customWidth="1"/>
    <col min="3" max="3" width="10.81640625" customWidth="1"/>
    <col min="4" max="4" width="8.36328125" customWidth="1"/>
    <col min="5" max="18" width="7.08984375" customWidth="1"/>
    <col min="27" max="27" width="10.453125" bestFit="1" customWidth="1"/>
  </cols>
  <sheetData>
    <row r="1" spans="2:112" x14ac:dyDescent="0.35">
      <c r="E1" t="s">
        <v>45</v>
      </c>
      <c r="F1" t="s">
        <v>47</v>
      </c>
      <c r="G1" t="s">
        <v>48</v>
      </c>
      <c r="H1" t="s">
        <v>49</v>
      </c>
      <c r="I1" t="s">
        <v>44</v>
      </c>
      <c r="J1" t="s">
        <v>47</v>
      </c>
      <c r="K1" t="s">
        <v>43</v>
      </c>
      <c r="L1" t="s">
        <v>60</v>
      </c>
      <c r="M1" t="s">
        <v>59</v>
      </c>
      <c r="Q1">
        <v>2019</v>
      </c>
      <c r="R1">
        <v>2020</v>
      </c>
      <c r="S1">
        <v>2021</v>
      </c>
      <c r="T1">
        <v>2022</v>
      </c>
      <c r="U1">
        <v>2023</v>
      </c>
      <c r="V1">
        <v>2024</v>
      </c>
      <c r="W1">
        <f>V1+1</f>
        <v>2025</v>
      </c>
      <c r="X1">
        <f t="shared" ref="X1:CI1" si="0">W1+1</f>
        <v>2026</v>
      </c>
      <c r="Y1">
        <f t="shared" si="0"/>
        <v>2027</v>
      </c>
      <c r="Z1">
        <f t="shared" si="0"/>
        <v>2028</v>
      </c>
      <c r="AA1">
        <f t="shared" si="0"/>
        <v>2029</v>
      </c>
      <c r="AB1">
        <f t="shared" si="0"/>
        <v>2030</v>
      </c>
      <c r="AC1">
        <f t="shared" si="0"/>
        <v>2031</v>
      </c>
      <c r="AD1">
        <f t="shared" si="0"/>
        <v>2032</v>
      </c>
      <c r="AE1">
        <f t="shared" si="0"/>
        <v>2033</v>
      </c>
      <c r="AF1">
        <f t="shared" si="0"/>
        <v>2034</v>
      </c>
      <c r="AG1">
        <f t="shared" si="0"/>
        <v>2035</v>
      </c>
      <c r="AH1">
        <f t="shared" si="0"/>
        <v>2036</v>
      </c>
      <c r="AI1">
        <f t="shared" si="0"/>
        <v>2037</v>
      </c>
      <c r="AJ1">
        <f t="shared" si="0"/>
        <v>2038</v>
      </c>
      <c r="AK1">
        <f t="shared" si="0"/>
        <v>2039</v>
      </c>
      <c r="AL1">
        <f t="shared" si="0"/>
        <v>2040</v>
      </c>
      <c r="AM1">
        <f t="shared" si="0"/>
        <v>2041</v>
      </c>
      <c r="AN1">
        <f t="shared" si="0"/>
        <v>2042</v>
      </c>
      <c r="AO1">
        <f t="shared" si="0"/>
        <v>2043</v>
      </c>
      <c r="AP1">
        <f t="shared" si="0"/>
        <v>2044</v>
      </c>
      <c r="AQ1">
        <f t="shared" si="0"/>
        <v>2045</v>
      </c>
      <c r="AR1">
        <f t="shared" si="0"/>
        <v>2046</v>
      </c>
      <c r="AS1">
        <f t="shared" si="0"/>
        <v>2047</v>
      </c>
      <c r="AT1">
        <f t="shared" si="0"/>
        <v>2048</v>
      </c>
      <c r="AU1">
        <f t="shared" si="0"/>
        <v>2049</v>
      </c>
      <c r="AV1">
        <f t="shared" si="0"/>
        <v>2050</v>
      </c>
      <c r="AW1">
        <f t="shared" si="0"/>
        <v>2051</v>
      </c>
      <c r="AX1">
        <f t="shared" si="0"/>
        <v>2052</v>
      </c>
      <c r="AY1">
        <f t="shared" si="0"/>
        <v>2053</v>
      </c>
      <c r="AZ1">
        <f t="shared" si="0"/>
        <v>2054</v>
      </c>
      <c r="BA1">
        <f t="shared" si="0"/>
        <v>2055</v>
      </c>
      <c r="BB1">
        <f t="shared" si="0"/>
        <v>2056</v>
      </c>
      <c r="BC1">
        <f t="shared" si="0"/>
        <v>2057</v>
      </c>
      <c r="BD1">
        <f t="shared" si="0"/>
        <v>2058</v>
      </c>
      <c r="BE1">
        <f t="shared" si="0"/>
        <v>2059</v>
      </c>
      <c r="BF1">
        <f t="shared" si="0"/>
        <v>2060</v>
      </c>
      <c r="BG1">
        <f t="shared" si="0"/>
        <v>2061</v>
      </c>
      <c r="BH1">
        <f t="shared" si="0"/>
        <v>2062</v>
      </c>
      <c r="BI1">
        <f t="shared" si="0"/>
        <v>2063</v>
      </c>
      <c r="BJ1">
        <f t="shared" si="0"/>
        <v>2064</v>
      </c>
      <c r="BK1">
        <f t="shared" si="0"/>
        <v>2065</v>
      </c>
      <c r="BL1">
        <f t="shared" si="0"/>
        <v>2066</v>
      </c>
      <c r="BM1">
        <f t="shared" si="0"/>
        <v>2067</v>
      </c>
      <c r="BN1">
        <f t="shared" si="0"/>
        <v>2068</v>
      </c>
      <c r="BO1">
        <f t="shared" si="0"/>
        <v>2069</v>
      </c>
      <c r="BP1">
        <f t="shared" si="0"/>
        <v>2070</v>
      </c>
      <c r="BQ1">
        <f t="shared" si="0"/>
        <v>2071</v>
      </c>
      <c r="BR1">
        <f t="shared" si="0"/>
        <v>2072</v>
      </c>
      <c r="BS1">
        <f t="shared" si="0"/>
        <v>2073</v>
      </c>
      <c r="BT1">
        <f t="shared" si="0"/>
        <v>2074</v>
      </c>
      <c r="BU1">
        <f t="shared" si="0"/>
        <v>2075</v>
      </c>
      <c r="BV1">
        <f t="shared" si="0"/>
        <v>2076</v>
      </c>
      <c r="BW1">
        <f t="shared" si="0"/>
        <v>2077</v>
      </c>
      <c r="BX1">
        <f t="shared" si="0"/>
        <v>2078</v>
      </c>
      <c r="BY1">
        <f t="shared" si="0"/>
        <v>2079</v>
      </c>
      <c r="BZ1">
        <f t="shared" si="0"/>
        <v>2080</v>
      </c>
      <c r="CA1">
        <f t="shared" si="0"/>
        <v>2081</v>
      </c>
      <c r="CB1">
        <f t="shared" si="0"/>
        <v>2082</v>
      </c>
      <c r="CC1">
        <f t="shared" si="0"/>
        <v>2083</v>
      </c>
      <c r="CD1">
        <f t="shared" si="0"/>
        <v>2084</v>
      </c>
      <c r="CE1">
        <f t="shared" si="0"/>
        <v>2085</v>
      </c>
      <c r="CF1">
        <f t="shared" si="0"/>
        <v>2086</v>
      </c>
      <c r="CG1">
        <f t="shared" si="0"/>
        <v>2087</v>
      </c>
      <c r="CH1">
        <f t="shared" si="0"/>
        <v>2088</v>
      </c>
      <c r="CI1">
        <f t="shared" si="0"/>
        <v>2089</v>
      </c>
      <c r="CJ1">
        <f t="shared" ref="CJ1:DH1" si="1">CI1+1</f>
        <v>2090</v>
      </c>
      <c r="CK1">
        <f t="shared" si="1"/>
        <v>2091</v>
      </c>
      <c r="CL1">
        <f t="shared" si="1"/>
        <v>2092</v>
      </c>
      <c r="CM1">
        <f t="shared" si="1"/>
        <v>2093</v>
      </c>
      <c r="CN1">
        <f t="shared" si="1"/>
        <v>2094</v>
      </c>
      <c r="CO1">
        <f t="shared" si="1"/>
        <v>2095</v>
      </c>
      <c r="CP1">
        <f t="shared" si="1"/>
        <v>2096</v>
      </c>
      <c r="CQ1">
        <f t="shared" si="1"/>
        <v>2097</v>
      </c>
      <c r="CR1">
        <f t="shared" si="1"/>
        <v>2098</v>
      </c>
      <c r="CS1">
        <f t="shared" si="1"/>
        <v>2099</v>
      </c>
      <c r="CT1">
        <f t="shared" si="1"/>
        <v>2100</v>
      </c>
      <c r="CU1">
        <f t="shared" si="1"/>
        <v>2101</v>
      </c>
      <c r="CV1">
        <f t="shared" si="1"/>
        <v>2102</v>
      </c>
      <c r="CW1">
        <f t="shared" si="1"/>
        <v>2103</v>
      </c>
      <c r="CX1">
        <f t="shared" si="1"/>
        <v>2104</v>
      </c>
      <c r="CY1">
        <f t="shared" si="1"/>
        <v>2105</v>
      </c>
      <c r="CZ1">
        <f t="shared" si="1"/>
        <v>2106</v>
      </c>
      <c r="DA1">
        <f t="shared" si="1"/>
        <v>2107</v>
      </c>
      <c r="DB1">
        <f t="shared" si="1"/>
        <v>2108</v>
      </c>
      <c r="DC1">
        <f t="shared" si="1"/>
        <v>2109</v>
      </c>
      <c r="DD1">
        <f t="shared" si="1"/>
        <v>2110</v>
      </c>
      <c r="DE1">
        <f t="shared" si="1"/>
        <v>2111</v>
      </c>
      <c r="DF1">
        <f t="shared" si="1"/>
        <v>2112</v>
      </c>
      <c r="DG1">
        <f t="shared" si="1"/>
        <v>2113</v>
      </c>
      <c r="DH1">
        <f t="shared" si="1"/>
        <v>2114</v>
      </c>
    </row>
    <row r="2" spans="2:112" x14ac:dyDescent="0.35">
      <c r="B2" t="s">
        <v>50</v>
      </c>
      <c r="E2">
        <v>269</v>
      </c>
      <c r="H2">
        <v>277</v>
      </c>
      <c r="I2">
        <v>318</v>
      </c>
      <c r="L2">
        <v>324</v>
      </c>
      <c r="M2">
        <v>352</v>
      </c>
    </row>
    <row r="3" spans="2:112" x14ac:dyDescent="0.35">
      <c r="B3" t="s">
        <v>51</v>
      </c>
      <c r="E3">
        <v>23</v>
      </c>
      <c r="H3">
        <v>5</v>
      </c>
      <c r="I3">
        <v>25</v>
      </c>
      <c r="L3">
        <v>5</v>
      </c>
      <c r="M3">
        <v>32</v>
      </c>
    </row>
    <row r="4" spans="2:112" x14ac:dyDescent="0.35">
      <c r="B4" t="s">
        <v>52</v>
      </c>
      <c r="E4">
        <v>1714</v>
      </c>
      <c r="H4">
        <v>1476</v>
      </c>
      <c r="I4">
        <v>1895</v>
      </c>
      <c r="L4">
        <v>1584</v>
      </c>
      <c r="M4">
        <v>1869</v>
      </c>
    </row>
    <row r="5" spans="2:112" x14ac:dyDescent="0.35">
      <c r="B5" t="s">
        <v>41</v>
      </c>
      <c r="E5">
        <v>54</v>
      </c>
      <c r="H5">
        <v>53</v>
      </c>
      <c r="I5">
        <v>61</v>
      </c>
      <c r="L5">
        <v>74</v>
      </c>
      <c r="M5">
        <v>68</v>
      </c>
    </row>
    <row r="6" spans="2:112" x14ac:dyDescent="0.35">
      <c r="B6" t="s">
        <v>53</v>
      </c>
      <c r="E6">
        <v>74</v>
      </c>
      <c r="H6">
        <v>70</v>
      </c>
      <c r="I6">
        <v>87</v>
      </c>
      <c r="L6">
        <v>72</v>
      </c>
      <c r="M6">
        <v>89</v>
      </c>
    </row>
    <row r="7" spans="2:112" x14ac:dyDescent="0.35">
      <c r="B7" t="s">
        <v>8</v>
      </c>
      <c r="E7">
        <v>2135</v>
      </c>
      <c r="H7">
        <f>SUM(H2:H6)</f>
        <v>1881</v>
      </c>
      <c r="I7">
        <f>SUM(I2:I6)</f>
        <v>2386</v>
      </c>
      <c r="L7">
        <f>SUM(L2:L6)</f>
        <v>2059</v>
      </c>
      <c r="M7">
        <f>SUM(M2:M6)</f>
        <v>2410</v>
      </c>
      <c r="R7">
        <v>6532</v>
      </c>
      <c r="S7">
        <v>6778</v>
      </c>
      <c r="T7" s="2">
        <f>7551+2</f>
        <v>7553</v>
      </c>
      <c r="U7" s="2">
        <f>8514+1</f>
        <v>8515</v>
      </c>
      <c r="V7" s="2">
        <f>9147+1</f>
        <v>9148</v>
      </c>
      <c r="W7">
        <f>V7*1.08</f>
        <v>9879.84</v>
      </c>
      <c r="X7">
        <f t="shared" ref="X7:AB7" si="2">W7*1.08</f>
        <v>10670.227200000001</v>
      </c>
      <c r="Y7">
        <f t="shared" si="2"/>
        <v>11523.845376000001</v>
      </c>
      <c r="Z7">
        <f t="shared" si="2"/>
        <v>12445.753006080002</v>
      </c>
      <c r="AA7">
        <f t="shared" si="2"/>
        <v>13441.413246566402</v>
      </c>
      <c r="AB7">
        <f t="shared" si="2"/>
        <v>14516.726306291715</v>
      </c>
      <c r="AC7">
        <f>AB7*1.02</f>
        <v>14807.06083241755</v>
      </c>
      <c r="AD7">
        <f t="shared" ref="AD7:CO7" si="3">AC7*1.02</f>
        <v>15103.202049065902</v>
      </c>
      <c r="AE7">
        <f t="shared" si="3"/>
        <v>15405.26609004722</v>
      </c>
      <c r="AF7">
        <f t="shared" si="3"/>
        <v>15713.371411848164</v>
      </c>
      <c r="AG7">
        <f t="shared" si="3"/>
        <v>16027.638840085128</v>
      </c>
      <c r="AH7">
        <f t="shared" si="3"/>
        <v>16348.191616886832</v>
      </c>
      <c r="AI7">
        <f t="shared" si="3"/>
        <v>16675.15544922457</v>
      </c>
      <c r="AJ7">
        <f t="shared" si="3"/>
        <v>17008.658558209063</v>
      </c>
      <c r="AK7">
        <f t="shared" si="3"/>
        <v>17348.831729373243</v>
      </c>
      <c r="AL7">
        <f t="shared" si="3"/>
        <v>17695.80836396071</v>
      </c>
      <c r="AM7">
        <f t="shared" si="3"/>
        <v>18049.724531239925</v>
      </c>
      <c r="AN7">
        <f t="shared" si="3"/>
        <v>18410.719021864723</v>
      </c>
      <c r="AO7">
        <f t="shared" si="3"/>
        <v>18778.933402302016</v>
      </c>
      <c r="AP7">
        <f t="shared" si="3"/>
        <v>19154.512070348057</v>
      </c>
      <c r="AQ7">
        <f t="shared" si="3"/>
        <v>19537.602311755018</v>
      </c>
      <c r="AR7">
        <f t="shared" si="3"/>
        <v>19928.35435799012</v>
      </c>
      <c r="AS7">
        <f t="shared" si="3"/>
        <v>20326.921445149921</v>
      </c>
      <c r="AT7">
        <f t="shared" si="3"/>
        <v>20733.459874052918</v>
      </c>
      <c r="AU7">
        <f t="shared" si="3"/>
        <v>21148.129071533978</v>
      </c>
      <c r="AV7">
        <f t="shared" si="3"/>
        <v>21571.091652964657</v>
      </c>
      <c r="AW7">
        <f t="shared" si="3"/>
        <v>22002.513486023949</v>
      </c>
      <c r="AX7">
        <f t="shared" si="3"/>
        <v>22442.563755744428</v>
      </c>
      <c r="AY7">
        <f t="shared" si="3"/>
        <v>22891.415030859316</v>
      </c>
      <c r="AZ7">
        <f t="shared" si="3"/>
        <v>23349.243331476504</v>
      </c>
      <c r="BA7">
        <f t="shared" si="3"/>
        <v>23816.228198106033</v>
      </c>
      <c r="BB7">
        <f t="shared" si="3"/>
        <v>24292.552762068153</v>
      </c>
      <c r="BC7">
        <f t="shared" si="3"/>
        <v>24778.403817309518</v>
      </c>
      <c r="BD7">
        <f t="shared" si="3"/>
        <v>25273.971893655707</v>
      </c>
      <c r="BE7">
        <f t="shared" si="3"/>
        <v>25779.45133152882</v>
      </c>
      <c r="BF7">
        <f t="shared" si="3"/>
        <v>26295.040358159396</v>
      </c>
      <c r="BG7">
        <f t="shared" si="3"/>
        <v>26820.941165322583</v>
      </c>
      <c r="BH7">
        <f t="shared" si="3"/>
        <v>27357.359988629036</v>
      </c>
      <c r="BI7">
        <f t="shared" si="3"/>
        <v>27904.507188401618</v>
      </c>
      <c r="BJ7">
        <f t="shared" si="3"/>
        <v>28462.597332169651</v>
      </c>
      <c r="BK7">
        <f t="shared" si="3"/>
        <v>29031.849278813046</v>
      </c>
      <c r="BL7">
        <f t="shared" si="3"/>
        <v>29612.486264389307</v>
      </c>
      <c r="BM7">
        <f t="shared" si="3"/>
        <v>30204.735989677094</v>
      </c>
      <c r="BN7">
        <f t="shared" si="3"/>
        <v>30808.830709470636</v>
      </c>
      <c r="BO7">
        <f t="shared" si="3"/>
        <v>31425.007323660051</v>
      </c>
      <c r="BP7">
        <f t="shared" si="3"/>
        <v>32053.507470133252</v>
      </c>
      <c r="BQ7">
        <f t="shared" si="3"/>
        <v>32694.577619535918</v>
      </c>
      <c r="BR7">
        <f t="shared" si="3"/>
        <v>33348.469171926634</v>
      </c>
      <c r="BS7">
        <f t="shared" si="3"/>
        <v>34015.438555365166</v>
      </c>
      <c r="BT7">
        <f t="shared" si="3"/>
        <v>34695.747326472469</v>
      </c>
      <c r="BU7">
        <f t="shared" si="3"/>
        <v>35389.662273001915</v>
      </c>
      <c r="BV7">
        <f t="shared" si="3"/>
        <v>36097.455518461953</v>
      </c>
      <c r="BW7">
        <f t="shared" si="3"/>
        <v>36819.404628831195</v>
      </c>
      <c r="BX7">
        <f t="shared" si="3"/>
        <v>37555.792721407823</v>
      </c>
      <c r="BY7">
        <f t="shared" si="3"/>
        <v>38306.90857583598</v>
      </c>
      <c r="BZ7">
        <f t="shared" si="3"/>
        <v>39073.046747352702</v>
      </c>
      <c r="CA7">
        <f t="shared" si="3"/>
        <v>39854.507682299758</v>
      </c>
      <c r="CB7">
        <f t="shared" si="3"/>
        <v>40651.597835945751</v>
      </c>
      <c r="CC7">
        <f t="shared" si="3"/>
        <v>41464.629792664666</v>
      </c>
      <c r="CD7">
        <f t="shared" si="3"/>
        <v>42293.92238851796</v>
      </c>
      <c r="CE7">
        <f t="shared" si="3"/>
        <v>43139.800836288319</v>
      </c>
      <c r="CF7">
        <f t="shared" si="3"/>
        <v>44002.596853014089</v>
      </c>
      <c r="CG7">
        <f t="shared" si="3"/>
        <v>44882.648790074374</v>
      </c>
      <c r="CH7">
        <f t="shared" si="3"/>
        <v>45780.301765875862</v>
      </c>
      <c r="CI7">
        <f t="shared" si="3"/>
        <v>46695.907801193382</v>
      </c>
      <c r="CJ7">
        <f t="shared" si="3"/>
        <v>47629.825957217246</v>
      </c>
      <c r="CK7">
        <f t="shared" si="3"/>
        <v>48582.422476361593</v>
      </c>
      <c r="CL7">
        <f t="shared" si="3"/>
        <v>49554.070925888824</v>
      </c>
      <c r="CM7">
        <f t="shared" si="3"/>
        <v>50545.152344406604</v>
      </c>
      <c r="CN7">
        <f t="shared" si="3"/>
        <v>51556.055391294736</v>
      </c>
      <c r="CO7">
        <f t="shared" si="3"/>
        <v>52587.176499120629</v>
      </c>
      <c r="CP7">
        <f t="shared" ref="CP7:DH7" si="4">CO7*1.02</f>
        <v>53638.920029103043</v>
      </c>
      <c r="CQ7">
        <f t="shared" si="4"/>
        <v>54711.698429685108</v>
      </c>
      <c r="CR7">
        <f t="shared" si="4"/>
        <v>55805.932398278812</v>
      </c>
      <c r="CS7">
        <f t="shared" si="4"/>
        <v>56922.051046244393</v>
      </c>
      <c r="CT7">
        <f t="shared" si="4"/>
        <v>58060.492067169282</v>
      </c>
      <c r="CU7">
        <f t="shared" si="4"/>
        <v>59221.701908512667</v>
      </c>
      <c r="CV7">
        <f t="shared" si="4"/>
        <v>60406.135946682924</v>
      </c>
      <c r="CW7">
        <f t="shared" si="4"/>
        <v>61614.25866561658</v>
      </c>
      <c r="CX7">
        <f t="shared" si="4"/>
        <v>62846.543838928912</v>
      </c>
      <c r="CY7">
        <f t="shared" si="4"/>
        <v>64103.474715707489</v>
      </c>
      <c r="CZ7">
        <f t="shared" si="4"/>
        <v>65385.544210021639</v>
      </c>
      <c r="DA7">
        <f t="shared" si="4"/>
        <v>66693.25509422207</v>
      </c>
      <c r="DB7">
        <f t="shared" si="4"/>
        <v>68027.120196106509</v>
      </c>
      <c r="DC7">
        <f t="shared" si="4"/>
        <v>69387.662600028634</v>
      </c>
      <c r="DD7">
        <f t="shared" si="4"/>
        <v>70775.415852029211</v>
      </c>
      <c r="DE7">
        <f t="shared" si="4"/>
        <v>72190.924169069796</v>
      </c>
      <c r="DF7">
        <f t="shared" si="4"/>
        <v>73634.742652451198</v>
      </c>
      <c r="DG7">
        <f t="shared" si="4"/>
        <v>75107.437505500217</v>
      </c>
      <c r="DH7">
        <f t="shared" si="4"/>
        <v>76609.586255610222</v>
      </c>
    </row>
    <row r="8" spans="2:112" x14ac:dyDescent="0.35">
      <c r="B8" t="s">
        <v>9</v>
      </c>
      <c r="S8">
        <v>596</v>
      </c>
      <c r="T8" s="2">
        <f>1197+4182+1446</f>
        <v>6825</v>
      </c>
      <c r="U8" s="2">
        <f>1047+4878+1599</f>
        <v>7524</v>
      </c>
      <c r="V8" s="2">
        <f>1115+4931+1760</f>
        <v>7806</v>
      </c>
    </row>
    <row r="9" spans="2:112" x14ac:dyDescent="0.35">
      <c r="B9" t="s">
        <v>46</v>
      </c>
      <c r="T9" s="2">
        <v>299</v>
      </c>
      <c r="U9" s="2">
        <v>401</v>
      </c>
      <c r="V9" s="2">
        <v>441</v>
      </c>
    </row>
    <row r="10" spans="2:112" x14ac:dyDescent="0.35">
      <c r="B10" t="s">
        <v>10</v>
      </c>
      <c r="T10" s="2">
        <v>-6</v>
      </c>
      <c r="U10" s="2">
        <v>35</v>
      </c>
      <c r="V10" s="4">
        <v>2208</v>
      </c>
      <c r="X10" t="s">
        <v>23</v>
      </c>
    </row>
    <row r="11" spans="2:112" x14ac:dyDescent="0.35">
      <c r="B11" t="s">
        <v>11</v>
      </c>
      <c r="E11">
        <v>106</v>
      </c>
      <c r="H11">
        <v>152</v>
      </c>
      <c r="I11">
        <v>399</v>
      </c>
      <c r="L11">
        <v>496</v>
      </c>
      <c r="M11">
        <v>211</v>
      </c>
      <c r="R11">
        <v>189</v>
      </c>
      <c r="S11">
        <v>1476</v>
      </c>
      <c r="T11" s="2">
        <f>T7-T8-T9+T10</f>
        <v>423</v>
      </c>
      <c r="U11" s="2">
        <f>U7-U8-U9+U10</f>
        <v>625</v>
      </c>
      <c r="V11" s="2">
        <f>V7-V8-V9+V10</f>
        <v>3109</v>
      </c>
    </row>
    <row r="12" spans="2:112" x14ac:dyDescent="0.35">
      <c r="B12" t="s">
        <v>12</v>
      </c>
      <c r="T12" s="2">
        <v>-365</v>
      </c>
      <c r="U12" s="2">
        <v>-372</v>
      </c>
      <c r="V12" s="2">
        <v>-411</v>
      </c>
    </row>
    <row r="13" spans="2:112" x14ac:dyDescent="0.35">
      <c r="B13" t="s">
        <v>13</v>
      </c>
      <c r="T13" s="2">
        <v>45</v>
      </c>
      <c r="U13" s="2">
        <v>188</v>
      </c>
      <c r="V13" s="2">
        <v>685</v>
      </c>
    </row>
    <row r="14" spans="2:112" x14ac:dyDescent="0.35">
      <c r="B14" t="s">
        <v>14</v>
      </c>
      <c r="R14">
        <v>-243</v>
      </c>
      <c r="S14">
        <v>-334</v>
      </c>
      <c r="T14" s="2">
        <f>T12+T13</f>
        <v>-320</v>
      </c>
      <c r="U14" s="2">
        <f t="shared" ref="U14:V14" si="5">U12+U13</f>
        <v>-184</v>
      </c>
      <c r="V14" s="2">
        <f t="shared" si="5"/>
        <v>274</v>
      </c>
    </row>
    <row r="15" spans="2:112" x14ac:dyDescent="0.35">
      <c r="B15" t="s">
        <v>15</v>
      </c>
      <c r="T15" s="2">
        <v>165</v>
      </c>
      <c r="U15" s="2">
        <v>215</v>
      </c>
      <c r="V15" s="2">
        <v>238</v>
      </c>
    </row>
    <row r="16" spans="2:112" x14ac:dyDescent="0.35">
      <c r="B16" t="s">
        <v>16</v>
      </c>
      <c r="E16">
        <v>105</v>
      </c>
      <c r="I16">
        <v>404</v>
      </c>
      <c r="L16">
        <v>309</v>
      </c>
      <c r="M16">
        <v>241</v>
      </c>
      <c r="R16">
        <v>-427</v>
      </c>
      <c r="S16">
        <v>964</v>
      </c>
      <c r="T16" s="2">
        <f>T11+T14+T15</f>
        <v>268</v>
      </c>
      <c r="U16" s="2">
        <f t="shared" ref="U16:V16" si="6">U11+U14+U15</f>
        <v>656</v>
      </c>
      <c r="V16" s="2">
        <f t="shared" si="6"/>
        <v>3621</v>
      </c>
    </row>
    <row r="17" spans="2:112" x14ac:dyDescent="0.35">
      <c r="B17" t="s">
        <v>17</v>
      </c>
      <c r="T17" s="2">
        <v>-30</v>
      </c>
      <c r="U17" s="2">
        <v>-42</v>
      </c>
      <c r="V17" s="2">
        <v>-145</v>
      </c>
    </row>
    <row r="18" spans="2:112" x14ac:dyDescent="0.35">
      <c r="B18" t="s">
        <v>18</v>
      </c>
      <c r="T18" s="2">
        <f>SUM(T16:T17)</f>
        <v>238</v>
      </c>
      <c r="U18" s="2">
        <f t="shared" ref="U18:V18" si="7">SUM(U16:U17)</f>
        <v>614</v>
      </c>
      <c r="V18" s="2">
        <f t="shared" si="7"/>
        <v>3476</v>
      </c>
    </row>
    <row r="19" spans="2:112" x14ac:dyDescent="0.35">
      <c r="B19" t="s">
        <v>19</v>
      </c>
      <c r="L19">
        <f>L16*0.07</f>
        <v>21.630000000000003</v>
      </c>
      <c r="T19" s="2">
        <v>64</v>
      </c>
      <c r="U19" s="2">
        <v>16</v>
      </c>
      <c r="V19" s="2">
        <v>14</v>
      </c>
    </row>
    <row r="20" spans="2:112" x14ac:dyDescent="0.35">
      <c r="B20" t="s">
        <v>20</v>
      </c>
      <c r="E20">
        <v>85</v>
      </c>
      <c r="I20">
        <v>337</v>
      </c>
      <c r="L20">
        <f>L16-L19</f>
        <v>287.37</v>
      </c>
      <c r="M20">
        <v>234</v>
      </c>
      <c r="N20">
        <v>600</v>
      </c>
      <c r="O20">
        <v>600</v>
      </c>
      <c r="R20">
        <v>-373</v>
      </c>
      <c r="S20">
        <v>1335</v>
      </c>
      <c r="T20" s="2">
        <f>SUM(T18:T19)</f>
        <v>302</v>
      </c>
      <c r="U20" s="2">
        <f t="shared" ref="U20:V20" si="8">SUM(U18:U19)</f>
        <v>630</v>
      </c>
      <c r="V20" s="2">
        <f t="shared" si="8"/>
        <v>3490</v>
      </c>
      <c r="W20" s="1">
        <f>V20*0.5</f>
        <v>1745</v>
      </c>
      <c r="X20">
        <f>W20*1.1</f>
        <v>1919.5000000000002</v>
      </c>
      <c r="Y20">
        <f>X20*1.1</f>
        <v>2111.4500000000003</v>
      </c>
      <c r="Z20">
        <f>Y20*1.05</f>
        <v>2217.0225000000005</v>
      </c>
      <c r="AA20">
        <f t="shared" ref="AA20:AD20" si="9">Z20*1.05</f>
        <v>2327.8736250000006</v>
      </c>
      <c r="AB20">
        <f t="shared" si="9"/>
        <v>2444.2673062500007</v>
      </c>
      <c r="AC20">
        <f t="shared" si="9"/>
        <v>2566.4806715625009</v>
      </c>
      <c r="AD20">
        <f t="shared" si="9"/>
        <v>2694.8047051406261</v>
      </c>
      <c r="AE20">
        <f>AD20*1.02</f>
        <v>2748.7007992434387</v>
      </c>
      <c r="AF20">
        <f t="shared" ref="AF20:CQ20" si="10">AE20*1.02</f>
        <v>2803.6748152283076</v>
      </c>
      <c r="AG20">
        <f t="shared" si="10"/>
        <v>2859.7483115328737</v>
      </c>
      <c r="AH20">
        <f t="shared" si="10"/>
        <v>2916.9432777635311</v>
      </c>
      <c r="AI20">
        <f t="shared" si="10"/>
        <v>2975.2821433188019</v>
      </c>
      <c r="AJ20">
        <f t="shared" si="10"/>
        <v>3034.787786185178</v>
      </c>
      <c r="AK20">
        <f t="shared" si="10"/>
        <v>3095.4835419088818</v>
      </c>
      <c r="AL20">
        <f t="shared" si="10"/>
        <v>3157.3932127470594</v>
      </c>
      <c r="AM20">
        <f t="shared" si="10"/>
        <v>3220.5410770020007</v>
      </c>
      <c r="AN20">
        <f t="shared" si="10"/>
        <v>3284.9518985420409</v>
      </c>
      <c r="AO20">
        <f t="shared" si="10"/>
        <v>3350.6509365128818</v>
      </c>
      <c r="AP20">
        <f t="shared" si="10"/>
        <v>3417.6639552431393</v>
      </c>
      <c r="AQ20">
        <f t="shared" si="10"/>
        <v>3486.0172343480021</v>
      </c>
      <c r="AR20">
        <f t="shared" si="10"/>
        <v>3555.7375790349624</v>
      </c>
      <c r="AS20">
        <f t="shared" si="10"/>
        <v>3626.8523306156617</v>
      </c>
      <c r="AT20">
        <f t="shared" si="10"/>
        <v>3699.3893772279748</v>
      </c>
      <c r="AU20">
        <f t="shared" si="10"/>
        <v>3773.3771647725343</v>
      </c>
      <c r="AV20">
        <f t="shared" si="10"/>
        <v>3848.8447080679853</v>
      </c>
      <c r="AW20">
        <f t="shared" si="10"/>
        <v>3925.821602229345</v>
      </c>
      <c r="AX20">
        <f t="shared" si="10"/>
        <v>4004.338034273932</v>
      </c>
      <c r="AY20">
        <f t="shared" si="10"/>
        <v>4084.4247949594105</v>
      </c>
      <c r="AZ20">
        <f t="shared" si="10"/>
        <v>4166.1132908585987</v>
      </c>
      <c r="BA20">
        <f t="shared" si="10"/>
        <v>4249.4355566757704</v>
      </c>
      <c r="BB20">
        <f t="shared" si="10"/>
        <v>4334.424267809286</v>
      </c>
      <c r="BC20">
        <f t="shared" si="10"/>
        <v>4421.112753165472</v>
      </c>
      <c r="BD20">
        <f t="shared" si="10"/>
        <v>4509.5350082287814</v>
      </c>
      <c r="BE20">
        <f t="shared" si="10"/>
        <v>4599.7257083933573</v>
      </c>
      <c r="BF20">
        <f t="shared" si="10"/>
        <v>4691.7202225612245</v>
      </c>
      <c r="BG20">
        <f t="shared" si="10"/>
        <v>4785.5546270124487</v>
      </c>
      <c r="BH20">
        <f t="shared" si="10"/>
        <v>4881.2657195526981</v>
      </c>
      <c r="BI20">
        <f t="shared" si="10"/>
        <v>4978.8910339437525</v>
      </c>
      <c r="BJ20">
        <f t="shared" si="10"/>
        <v>5078.468854622628</v>
      </c>
      <c r="BK20">
        <f t="shared" si="10"/>
        <v>5180.0382317150807</v>
      </c>
      <c r="BL20">
        <f t="shared" si="10"/>
        <v>5283.6389963493821</v>
      </c>
      <c r="BM20">
        <f t="shared" si="10"/>
        <v>5389.3117762763695</v>
      </c>
      <c r="BN20">
        <f t="shared" si="10"/>
        <v>5497.098011801897</v>
      </c>
      <c r="BO20">
        <f t="shared" si="10"/>
        <v>5607.0399720379346</v>
      </c>
      <c r="BP20">
        <f t="shared" si="10"/>
        <v>5719.1807714786937</v>
      </c>
      <c r="BQ20">
        <f t="shared" si="10"/>
        <v>5833.5643869082678</v>
      </c>
      <c r="BR20">
        <f t="shared" si="10"/>
        <v>5950.2356746464329</v>
      </c>
      <c r="BS20">
        <f t="shared" si="10"/>
        <v>6069.240388139362</v>
      </c>
      <c r="BT20">
        <f t="shared" si="10"/>
        <v>6190.6251959021492</v>
      </c>
      <c r="BU20">
        <f t="shared" si="10"/>
        <v>6314.4376998201924</v>
      </c>
      <c r="BV20">
        <f t="shared" si="10"/>
        <v>6440.7264538165964</v>
      </c>
      <c r="BW20">
        <f t="shared" si="10"/>
        <v>6569.5409828929287</v>
      </c>
      <c r="BX20">
        <f t="shared" si="10"/>
        <v>6700.9318025507873</v>
      </c>
      <c r="BY20">
        <f t="shared" si="10"/>
        <v>6834.9504386018034</v>
      </c>
      <c r="BZ20">
        <f t="shared" si="10"/>
        <v>6971.6494473738394</v>
      </c>
      <c r="CA20">
        <f t="shared" si="10"/>
        <v>7111.082436321316</v>
      </c>
      <c r="CB20">
        <f t="shared" si="10"/>
        <v>7253.3040850477428</v>
      </c>
      <c r="CC20">
        <f t="shared" si="10"/>
        <v>7398.3701667486976</v>
      </c>
      <c r="CD20">
        <f t="shared" si="10"/>
        <v>7546.3375700836714</v>
      </c>
      <c r="CE20">
        <f t="shared" si="10"/>
        <v>7697.2643214853451</v>
      </c>
      <c r="CF20">
        <f t="shared" si="10"/>
        <v>7851.2096079150524</v>
      </c>
      <c r="CG20">
        <f t="shared" si="10"/>
        <v>8008.2338000733534</v>
      </c>
      <c r="CH20">
        <f t="shared" si="10"/>
        <v>8168.3984760748208</v>
      </c>
      <c r="CI20">
        <f t="shared" si="10"/>
        <v>8331.7664455963168</v>
      </c>
      <c r="CJ20">
        <f t="shared" si="10"/>
        <v>8498.4017745082438</v>
      </c>
      <c r="CK20">
        <f t="shared" si="10"/>
        <v>8668.3698099984085</v>
      </c>
      <c r="CL20">
        <f t="shared" si="10"/>
        <v>8841.737206198377</v>
      </c>
      <c r="CM20">
        <f t="shared" si="10"/>
        <v>9018.5719503223445</v>
      </c>
      <c r="CN20">
        <f t="shared" si="10"/>
        <v>9198.9433893287915</v>
      </c>
      <c r="CO20">
        <f t="shared" si="10"/>
        <v>9382.9222571153678</v>
      </c>
      <c r="CP20">
        <f t="shared" si="10"/>
        <v>9570.5807022576755</v>
      </c>
      <c r="CQ20">
        <f t="shared" si="10"/>
        <v>9761.9923163028288</v>
      </c>
      <c r="CR20">
        <f t="shared" ref="CR20:DH20" si="11">CQ20*1.02</f>
        <v>9957.2321626288849</v>
      </c>
      <c r="CS20">
        <f t="shared" si="11"/>
        <v>10156.376805881462</v>
      </c>
      <c r="CT20">
        <f t="shared" si="11"/>
        <v>10359.504341999091</v>
      </c>
      <c r="CU20">
        <f t="shared" si="11"/>
        <v>10566.694428839073</v>
      </c>
      <c r="CV20">
        <f t="shared" si="11"/>
        <v>10778.028317415856</v>
      </c>
      <c r="CW20">
        <f t="shared" si="11"/>
        <v>10993.588883764172</v>
      </c>
      <c r="CX20">
        <f t="shared" si="11"/>
        <v>11213.460661439456</v>
      </c>
      <c r="CY20">
        <f t="shared" si="11"/>
        <v>11437.729874668245</v>
      </c>
      <c r="CZ20">
        <f t="shared" si="11"/>
        <v>11666.48447216161</v>
      </c>
      <c r="DA20">
        <f t="shared" si="11"/>
        <v>11899.814161604843</v>
      </c>
      <c r="DB20">
        <f t="shared" si="11"/>
        <v>12137.810444836939</v>
      </c>
      <c r="DC20">
        <f t="shared" si="11"/>
        <v>12380.566653733678</v>
      </c>
      <c r="DD20">
        <f t="shared" si="11"/>
        <v>12628.177986808352</v>
      </c>
      <c r="DE20">
        <f t="shared" si="11"/>
        <v>12880.741546544519</v>
      </c>
      <c r="DF20">
        <f t="shared" si="11"/>
        <v>13138.356377475409</v>
      </c>
      <c r="DG20">
        <f t="shared" si="11"/>
        <v>13401.123505024918</v>
      </c>
      <c r="DH20">
        <f t="shared" si="11"/>
        <v>13669.145975125417</v>
      </c>
    </row>
    <row r="21" spans="2:112" x14ac:dyDescent="0.35">
      <c r="B21" t="s">
        <v>61</v>
      </c>
      <c r="T21" s="7"/>
      <c r="U21" s="8">
        <f t="shared" ref="U21:AU21" si="12">U20/T20-1</f>
        <v>1.0860927152317883</v>
      </c>
      <c r="V21" s="8">
        <f t="shared" si="12"/>
        <v>4.5396825396825395</v>
      </c>
      <c r="W21" s="8">
        <f t="shared" si="12"/>
        <v>-0.5</v>
      </c>
      <c r="X21" s="9">
        <f t="shared" si="12"/>
        <v>0.10000000000000009</v>
      </c>
      <c r="Y21" s="9">
        <f t="shared" si="12"/>
        <v>0.10000000000000009</v>
      </c>
      <c r="Z21" s="9">
        <f t="shared" si="12"/>
        <v>5.0000000000000044E-2</v>
      </c>
      <c r="AA21" s="9">
        <f t="shared" si="12"/>
        <v>5.0000000000000044E-2</v>
      </c>
      <c r="AB21" s="9">
        <f t="shared" si="12"/>
        <v>5.0000000000000044E-2</v>
      </c>
      <c r="AC21" s="9">
        <f t="shared" si="12"/>
        <v>5.0000000000000044E-2</v>
      </c>
      <c r="AD21" s="9">
        <f t="shared" si="12"/>
        <v>5.0000000000000044E-2</v>
      </c>
      <c r="AE21" s="9">
        <f t="shared" si="12"/>
        <v>2.0000000000000018E-2</v>
      </c>
      <c r="AF21" s="9">
        <f t="shared" si="12"/>
        <v>2.0000000000000018E-2</v>
      </c>
      <c r="AG21" s="9">
        <f t="shared" si="12"/>
        <v>2.0000000000000018E-2</v>
      </c>
      <c r="AH21" s="9">
        <f t="shared" si="12"/>
        <v>2.0000000000000018E-2</v>
      </c>
      <c r="AI21" s="9">
        <f t="shared" si="12"/>
        <v>2.0000000000000018E-2</v>
      </c>
      <c r="AJ21" s="9">
        <f t="shared" si="12"/>
        <v>2.0000000000000018E-2</v>
      </c>
      <c r="AK21" s="9">
        <f t="shared" si="12"/>
        <v>2.0000000000000018E-2</v>
      </c>
      <c r="AL21" s="9">
        <f t="shared" si="12"/>
        <v>2.0000000000000018E-2</v>
      </c>
      <c r="AM21" s="9">
        <f t="shared" si="12"/>
        <v>2.0000000000000018E-2</v>
      </c>
      <c r="AN21" s="9">
        <f t="shared" si="12"/>
        <v>2.0000000000000018E-2</v>
      </c>
      <c r="AO21" s="9">
        <f t="shared" si="12"/>
        <v>2.0000000000000018E-2</v>
      </c>
      <c r="AP21" s="9">
        <f t="shared" si="12"/>
        <v>2.0000000000000018E-2</v>
      </c>
      <c r="AQ21" s="9">
        <f t="shared" si="12"/>
        <v>2.0000000000000018E-2</v>
      </c>
      <c r="AR21" s="9">
        <f t="shared" si="12"/>
        <v>2.0000000000000018E-2</v>
      </c>
      <c r="AS21" s="9">
        <f t="shared" si="12"/>
        <v>2.0000000000000018E-2</v>
      </c>
      <c r="AT21" s="9">
        <f t="shared" si="12"/>
        <v>2.0000000000000018E-2</v>
      </c>
      <c r="AU21" s="9">
        <f t="shared" si="12"/>
        <v>2.0000000000000018E-2</v>
      </c>
    </row>
    <row r="24" spans="2:112" x14ac:dyDescent="0.35">
      <c r="Z24" t="s">
        <v>54</v>
      </c>
    </row>
    <row r="25" spans="2:112" x14ac:dyDescent="0.35">
      <c r="B25" t="s">
        <v>21</v>
      </c>
      <c r="L25" s="3">
        <f>L7/H7-1</f>
        <v>9.4630515683147287E-2</v>
      </c>
      <c r="M25" s="3">
        <f>M7/I7-1</f>
        <v>1.0058675607711676E-2</v>
      </c>
      <c r="N25" s="3"/>
      <c r="O25" s="3"/>
      <c r="P25" s="3"/>
      <c r="Q25" s="3"/>
      <c r="R25" s="3"/>
      <c r="S25" s="3">
        <f>S7/R7-1</f>
        <v>3.7660747091243119E-2</v>
      </c>
      <c r="T25" s="3">
        <f>T7/S7-1</f>
        <v>0.11434051342578933</v>
      </c>
      <c r="U25" s="3">
        <f>U7/T7-1</f>
        <v>0.1273666092943202</v>
      </c>
      <c r="V25" s="3">
        <f>V7/U7-1</f>
        <v>7.4339401056958243E-2</v>
      </c>
      <c r="W25" s="3">
        <f>W7/V7-1</f>
        <v>8.0000000000000071E-2</v>
      </c>
      <c r="X25" s="3">
        <f t="shared" ref="X25:Y25" si="13">X7/W7-1</f>
        <v>8.0000000000000071E-2</v>
      </c>
      <c r="Y25" s="3">
        <f t="shared" si="13"/>
        <v>8.0000000000000071E-2</v>
      </c>
      <c r="Z25" t="s">
        <v>58</v>
      </c>
      <c r="AA25" s="5">
        <v>7.0000000000000007E-2</v>
      </c>
    </row>
    <row r="26" spans="2:112" x14ac:dyDescent="0.35">
      <c r="B26" t="s">
        <v>22</v>
      </c>
      <c r="T26" s="3">
        <f>T11/T7</f>
        <v>5.6004236727128294E-2</v>
      </c>
      <c r="U26" s="3">
        <f>U11/U7</f>
        <v>7.339988256018791E-2</v>
      </c>
      <c r="V26" s="3">
        <f>V11/V7</f>
        <v>0.33985570616528205</v>
      </c>
      <c r="Z26" t="s">
        <v>55</v>
      </c>
      <c r="AA26" s="5">
        <v>0.02</v>
      </c>
    </row>
    <row r="27" spans="2:112" x14ac:dyDescent="0.35">
      <c r="R27" s="3">
        <f>R20/R7</f>
        <v>-5.7103490508266991E-2</v>
      </c>
      <c r="S27" s="3">
        <f>S20/S7</f>
        <v>0.19696075538506935</v>
      </c>
      <c r="T27" s="3">
        <f>T20/T7</f>
        <v>3.9984112273268903E-2</v>
      </c>
      <c r="U27" s="3">
        <f>U20/U7</f>
        <v>7.3987081620669401E-2</v>
      </c>
      <c r="V27" s="3">
        <f>V20/V7</f>
        <v>0.38150415391342368</v>
      </c>
      <c r="Z27" t="s">
        <v>56</v>
      </c>
      <c r="AA27" s="6">
        <f>NPV(AA25,W20:DH20)+main!L6-main!L7</f>
        <v>37835.682248827943</v>
      </c>
    </row>
    <row r="28" spans="2:112" x14ac:dyDescent="0.35">
      <c r="Z28" t="s">
        <v>57</v>
      </c>
      <c r="AA28" s="6">
        <f>AA27/main!L4</f>
        <v>52.418512397932872</v>
      </c>
    </row>
    <row r="29" spans="2:112" x14ac:dyDescent="0.35">
      <c r="B29" t="s">
        <v>24</v>
      </c>
      <c r="T29">
        <v>1002</v>
      </c>
      <c r="U29">
        <v>1263</v>
      </c>
      <c r="V29">
        <v>1293</v>
      </c>
      <c r="AA29">
        <v>45</v>
      </c>
    </row>
    <row r="30" spans="2:112" x14ac:dyDescent="0.35">
      <c r="B30" t="s">
        <v>25</v>
      </c>
      <c r="T30">
        <f>95+809</f>
        <v>904</v>
      </c>
      <c r="U30">
        <f>319+86</f>
        <v>405</v>
      </c>
      <c r="V30">
        <f>226+186</f>
        <v>412</v>
      </c>
      <c r="AA30" s="5">
        <f>AA28/AA29-1</f>
        <v>0.16485583106517487</v>
      </c>
    </row>
    <row r="31" spans="2:112" x14ac:dyDescent="0.35">
      <c r="B31" t="s">
        <v>26</v>
      </c>
      <c r="T31">
        <f>T29-T30</f>
        <v>98</v>
      </c>
      <c r="U31">
        <f>U29-U30</f>
        <v>858</v>
      </c>
      <c r="V31">
        <f t="shared" ref="V31" si="14">V29-V30</f>
        <v>881</v>
      </c>
    </row>
    <row r="33" spans="2:22" x14ac:dyDescent="0.35">
      <c r="B33" t="s">
        <v>28</v>
      </c>
      <c r="U33" s="3">
        <f>U29/T29-1</f>
        <v>0.26047904191616778</v>
      </c>
      <c r="V33" s="3">
        <f>V29/U29-1</f>
        <v>2.3752969121140222E-2</v>
      </c>
    </row>
    <row r="34" spans="2:22" x14ac:dyDescent="0.35">
      <c r="B34" t="s">
        <v>27</v>
      </c>
      <c r="U34" s="3">
        <f>U31/T31-1</f>
        <v>7.7551020408163271</v>
      </c>
      <c r="V34" s="3">
        <f>V31/U31-1</f>
        <v>2.6806526806526731E-2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</dc:creator>
  <cp:lastModifiedBy>Eduardo Medina Resende de Oliveira</cp:lastModifiedBy>
  <dcterms:created xsi:type="dcterms:W3CDTF">2015-06-05T18:17:20Z</dcterms:created>
  <dcterms:modified xsi:type="dcterms:W3CDTF">2025-08-13T22:31:05Z</dcterms:modified>
</cp:coreProperties>
</file>