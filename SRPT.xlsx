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705F3B3A-A4CA-4B26-831D-76D742CE8F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in" sheetId="1" r:id="rId1"/>
    <sheet name="model" sheetId="2" r:id="rId2"/>
    <sheet name="SRP-90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H19" i="2"/>
  <c r="G19" i="2"/>
  <c r="H17" i="2"/>
  <c r="G17" i="2"/>
  <c r="H15" i="2"/>
  <c r="G14" i="2"/>
  <c r="G15" i="2" s="1"/>
  <c r="I14" i="2"/>
  <c r="H14" i="2"/>
  <c r="I9" i="2"/>
  <c r="H7" i="2"/>
  <c r="H9" i="2" s="1"/>
  <c r="G7" i="2"/>
  <c r="G9" i="2" s="1"/>
  <c r="E5" i="2"/>
  <c r="D5" i="2"/>
  <c r="E9" i="2"/>
  <c r="E14" i="2"/>
  <c r="D14" i="2"/>
  <c r="D9" i="2"/>
  <c r="L11" i="1"/>
  <c r="I15" i="2" l="1"/>
  <c r="I17" i="2" s="1"/>
  <c r="D15" i="2"/>
  <c r="E15" i="2"/>
  <c r="E28" i="2"/>
  <c r="E17" i="2"/>
  <c r="D17" i="2"/>
  <c r="D19" i="2" s="1"/>
  <c r="D21" i="2" s="1"/>
  <c r="L8" i="1"/>
  <c r="L9" i="1" s="1"/>
  <c r="L6" i="1"/>
  <c r="E19" i="2" l="1"/>
  <c r="E21" i="2" s="1"/>
</calcChain>
</file>

<file path=xl/sharedStrings.xml><?xml version="1.0" encoding="utf-8"?>
<sst xmlns="http://schemas.openxmlformats.org/spreadsheetml/2006/main" count="91" uniqueCount="78">
  <si>
    <t>Price</t>
  </si>
  <si>
    <t>Shares</t>
  </si>
  <si>
    <t>MC</t>
  </si>
  <si>
    <t>Cash</t>
  </si>
  <si>
    <t>Debt</t>
  </si>
  <si>
    <t>EV</t>
  </si>
  <si>
    <t>main</t>
  </si>
  <si>
    <t>Revenues</t>
  </si>
  <si>
    <t>COGS</t>
  </si>
  <si>
    <t>R&amp;D</t>
  </si>
  <si>
    <t>SG&amp;A</t>
  </si>
  <si>
    <t>Operating (loss) income</t>
  </si>
  <si>
    <t>Other (expense) income, net</t>
  </si>
  <si>
    <t>(Loss) income before income tax expense</t>
  </si>
  <si>
    <t>Income tax expense</t>
  </si>
  <si>
    <t>Net (loss) income</t>
  </si>
  <si>
    <t>Total other comprehensive income (loss)</t>
  </si>
  <si>
    <t>Comprehensive (loss) income</t>
  </si>
  <si>
    <t>Amortization of in-licensed rights</t>
  </si>
  <si>
    <t>Basic EPS</t>
  </si>
  <si>
    <t>Diluted EPS</t>
  </si>
  <si>
    <t>revenue y/y</t>
  </si>
  <si>
    <t>Patent id</t>
  </si>
  <si>
    <t>Country</t>
  </si>
  <si>
    <t>Patent Type</t>
  </si>
  <si>
    <t>Expiration date</t>
  </si>
  <si>
    <t>USA</t>
  </si>
  <si>
    <t>Composition of Matter</t>
  </si>
  <si>
    <t>EP 3442602 B1</t>
  </si>
  <si>
    <t>EP 3596222 B1</t>
  </si>
  <si>
    <t>EU</t>
  </si>
  <si>
    <t>Composition of Matter &amp; Methods of Use</t>
  </si>
  <si>
    <t>Brand Name</t>
  </si>
  <si>
    <t>Generic</t>
  </si>
  <si>
    <t xml:space="preserve">Indication </t>
  </si>
  <si>
    <t>Economics</t>
  </si>
  <si>
    <t xml:space="preserve">Approved </t>
  </si>
  <si>
    <t>MOA</t>
  </si>
  <si>
    <t>IP</t>
  </si>
  <si>
    <t>Duchenne</t>
  </si>
  <si>
    <t>Vyondys 53</t>
  </si>
  <si>
    <t>Amondys 45</t>
  </si>
  <si>
    <t>Exondys 51</t>
  </si>
  <si>
    <t>Elevidys</t>
  </si>
  <si>
    <t>SRP-9003</t>
  </si>
  <si>
    <t>betra-sarcoglycanopathy</t>
  </si>
  <si>
    <t>Phase</t>
  </si>
  <si>
    <t>Mechanism</t>
  </si>
  <si>
    <t>Competition</t>
  </si>
  <si>
    <t>Brand</t>
  </si>
  <si>
    <t>Indication</t>
  </si>
  <si>
    <t>Clinical Trials</t>
  </si>
  <si>
    <t>Phase I/IIa</t>
  </si>
  <si>
    <t>EMERGENE (SRP-9003-301), phase III</t>
  </si>
  <si>
    <t>bidridistrogene xeboparvovec</t>
  </si>
  <si>
    <t>III</t>
  </si>
  <si>
    <t>price to sales</t>
  </si>
  <si>
    <t>price to fcf</t>
  </si>
  <si>
    <t xml:space="preserve">SRP-9004 </t>
  </si>
  <si>
    <t>SRP-6004</t>
  </si>
  <si>
    <t>Area</t>
  </si>
  <si>
    <t>gene therapy</t>
  </si>
  <si>
    <t>SRP-1001</t>
  </si>
  <si>
    <t>SRP-1004</t>
  </si>
  <si>
    <t>SRP-1002</t>
  </si>
  <si>
    <t>SRP-1003</t>
  </si>
  <si>
    <t>siRNA</t>
  </si>
  <si>
    <t>Roche</t>
  </si>
  <si>
    <t>Gross profit</t>
  </si>
  <si>
    <t>Total costs and expenses excluding COGS</t>
  </si>
  <si>
    <t>PMO Products net</t>
  </si>
  <si>
    <t>ELEVIDYS net</t>
  </si>
  <si>
    <t>Collaboration and other</t>
  </si>
  <si>
    <t>Total products</t>
  </si>
  <si>
    <t>millions USD</t>
  </si>
  <si>
    <t>Settlement and license charges</t>
  </si>
  <si>
    <t>1Q25</t>
  </si>
  <si>
    <t>1Q24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</si>
</sst>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2" fillId="0" borderId="0" xfId="1"/>
    <xf numFmtId="0" fontId="1" fillId="0" borderId="0" xfId="0" applyFont="1"/>
    <xf numFmtId="10" fontId="0" fillId="0" borderId="0" xfId="0" applyNumberFormat="1"/>
    <xf numFmtId="15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"/>
  <sheetViews>
    <sheetView tabSelected="1" workbookViewId="0">
      <selection activeCell="F7" sqref="F7"/>
    </sheetView>
  </sheetViews>
  <sheetFormatPr defaultRowHeight="14.5" x14ac:dyDescent="0.35"/>
  <cols>
    <col min="2" max="2" width="12.90625" bestFit="1" customWidth="1"/>
    <col min="4" max="4" width="35.7265625" bestFit="1" customWidth="1"/>
    <col min="5" max="5" width="9.54296875" bestFit="1" customWidth="1"/>
  </cols>
  <sheetData>
    <row r="2" spans="2:12" x14ac:dyDescent="0.3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2:12" x14ac:dyDescent="0.35">
      <c r="B3" t="s">
        <v>42</v>
      </c>
      <c r="D3" t="s">
        <v>39</v>
      </c>
      <c r="E3" s="6">
        <v>1</v>
      </c>
    </row>
    <row r="4" spans="2:12" x14ac:dyDescent="0.35">
      <c r="B4" t="s">
        <v>40</v>
      </c>
      <c r="D4" t="s">
        <v>39</v>
      </c>
      <c r="E4" s="6">
        <v>1</v>
      </c>
      <c r="K4" t="s">
        <v>0</v>
      </c>
      <c r="L4">
        <v>35.5</v>
      </c>
    </row>
    <row r="5" spans="2:12" x14ac:dyDescent="0.35">
      <c r="B5" t="s">
        <v>41</v>
      </c>
      <c r="D5" t="s">
        <v>39</v>
      </c>
      <c r="E5" s="6">
        <v>1</v>
      </c>
      <c r="K5" t="s">
        <v>1</v>
      </c>
      <c r="L5">
        <v>98.2</v>
      </c>
    </row>
    <row r="6" spans="2:12" x14ac:dyDescent="0.35">
      <c r="B6" t="s">
        <v>43</v>
      </c>
      <c r="D6" t="s">
        <v>39</v>
      </c>
      <c r="E6" t="s">
        <v>67</v>
      </c>
      <c r="K6" t="s">
        <v>2</v>
      </c>
      <c r="L6" s="1">
        <f>L5*L4</f>
        <v>3486.1</v>
      </c>
    </row>
    <row r="7" spans="2:12" x14ac:dyDescent="0.35">
      <c r="K7" t="s">
        <v>3</v>
      </c>
      <c r="L7">
        <v>240</v>
      </c>
    </row>
    <row r="8" spans="2:12" x14ac:dyDescent="0.35">
      <c r="K8" t="s">
        <v>4</v>
      </c>
      <c r="L8">
        <f>205.5+1138.3</f>
        <v>1343.8</v>
      </c>
    </row>
    <row r="9" spans="2:12" x14ac:dyDescent="0.35">
      <c r="K9" t="s">
        <v>5</v>
      </c>
      <c r="L9" s="1">
        <f>L6+L8-L7</f>
        <v>4589.8999999999996</v>
      </c>
    </row>
    <row r="11" spans="2:12" x14ac:dyDescent="0.35">
      <c r="E11" t="s">
        <v>46</v>
      </c>
      <c r="F11" t="s">
        <v>47</v>
      </c>
      <c r="G11" t="s">
        <v>48</v>
      </c>
      <c r="H11" t="s">
        <v>60</v>
      </c>
      <c r="K11" t="s">
        <v>56</v>
      </c>
      <c r="L11">
        <f>L6/model!E7</f>
        <v>4.6799570412135854</v>
      </c>
    </row>
    <row r="12" spans="2:12" x14ac:dyDescent="0.35">
      <c r="C12" t="s">
        <v>44</v>
      </c>
      <c r="D12" t="s">
        <v>45</v>
      </c>
      <c r="E12" t="s">
        <v>55</v>
      </c>
      <c r="H12" t="s">
        <v>61</v>
      </c>
      <c r="K12" t="s">
        <v>57</v>
      </c>
    </row>
    <row r="13" spans="2:12" x14ac:dyDescent="0.35">
      <c r="C13" t="s">
        <v>58</v>
      </c>
      <c r="H13" t="s">
        <v>61</v>
      </c>
    </row>
    <row r="14" spans="2:12" x14ac:dyDescent="0.35">
      <c r="C14" t="s">
        <v>59</v>
      </c>
      <c r="H14" t="s">
        <v>61</v>
      </c>
    </row>
    <row r="15" spans="2:12" x14ac:dyDescent="0.35">
      <c r="C15" t="s">
        <v>62</v>
      </c>
      <c r="H15" t="s">
        <v>66</v>
      </c>
    </row>
    <row r="16" spans="2:12" x14ac:dyDescent="0.35">
      <c r="C16" t="s">
        <v>65</v>
      </c>
      <c r="H16" t="s">
        <v>66</v>
      </c>
    </row>
    <row r="17" spans="2:8" x14ac:dyDescent="0.35">
      <c r="C17" t="s">
        <v>63</v>
      </c>
      <c r="H17" t="s">
        <v>66</v>
      </c>
    </row>
    <row r="18" spans="2:8" x14ac:dyDescent="0.35">
      <c r="C18" t="s">
        <v>64</v>
      </c>
      <c r="H18" t="s">
        <v>66</v>
      </c>
    </row>
    <row r="22" spans="2:8" x14ac:dyDescent="0.35">
      <c r="B22" t="s">
        <v>22</v>
      </c>
      <c r="C22" t="s">
        <v>23</v>
      </c>
      <c r="D22" t="s">
        <v>24</v>
      </c>
      <c r="E22" t="s">
        <v>25</v>
      </c>
    </row>
    <row r="23" spans="2:8" x14ac:dyDescent="0.35">
      <c r="B23">
        <v>11723986</v>
      </c>
      <c r="C23" t="s">
        <v>26</v>
      </c>
      <c r="D23" t="s">
        <v>27</v>
      </c>
      <c r="E23" s="5">
        <v>50309</v>
      </c>
    </row>
    <row r="24" spans="2:8" x14ac:dyDescent="0.35">
      <c r="B24" t="s">
        <v>28</v>
      </c>
      <c r="C24" t="s">
        <v>30</v>
      </c>
      <c r="D24" t="s">
        <v>31</v>
      </c>
      <c r="E24" s="5">
        <v>50144</v>
      </c>
    </row>
    <row r="25" spans="2:8" x14ac:dyDescent="0.35">
      <c r="B25" t="s">
        <v>29</v>
      </c>
      <c r="C25" t="s">
        <v>30</v>
      </c>
      <c r="D25" t="s">
        <v>31</v>
      </c>
      <c r="E25" s="5">
        <v>50480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C4F2-0288-4B0D-B737-2FC284C0BBE6}">
  <dimension ref="A1:I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5" bestFit="1" customWidth="1"/>
    <col min="2" max="2" width="35.6328125" bestFit="1" customWidth="1"/>
    <col min="7" max="8" width="9.81640625" bestFit="1" customWidth="1"/>
    <col min="9" max="9" width="11.26953125" bestFit="1" customWidth="1"/>
  </cols>
  <sheetData>
    <row r="1" spans="1:9" x14ac:dyDescent="0.35">
      <c r="A1" s="2" t="s">
        <v>6</v>
      </c>
      <c r="B1" t="s">
        <v>74</v>
      </c>
      <c r="D1" t="s">
        <v>77</v>
      </c>
      <c r="E1" t="s">
        <v>76</v>
      </c>
      <c r="G1">
        <v>2021</v>
      </c>
      <c r="H1">
        <v>2023</v>
      </c>
      <c r="I1">
        <v>2024</v>
      </c>
    </row>
    <row r="2" spans="1:9" x14ac:dyDescent="0.35">
      <c r="A2" s="2"/>
      <c r="B2" t="s">
        <v>70</v>
      </c>
      <c r="D2">
        <v>225.5</v>
      </c>
      <c r="E2">
        <v>236.5</v>
      </c>
      <c r="G2" s="7"/>
      <c r="H2" s="7">
        <v>944.5</v>
      </c>
      <c r="I2" s="7">
        <v>967.2</v>
      </c>
    </row>
    <row r="3" spans="1:9" x14ac:dyDescent="0.35">
      <c r="A3" s="2"/>
      <c r="B3" t="s">
        <v>71</v>
      </c>
      <c r="D3">
        <v>133.9</v>
      </c>
      <c r="E3">
        <v>375</v>
      </c>
      <c r="G3" s="7"/>
      <c r="H3" s="7">
        <v>200.4</v>
      </c>
      <c r="I3" s="7">
        <v>820.8</v>
      </c>
    </row>
    <row r="4" spans="1:9" x14ac:dyDescent="0.35">
      <c r="A4" s="2"/>
      <c r="G4" s="7"/>
      <c r="H4" s="7"/>
      <c r="I4" s="7"/>
    </row>
    <row r="5" spans="1:9" x14ac:dyDescent="0.35">
      <c r="A5" s="2"/>
      <c r="B5" t="s">
        <v>73</v>
      </c>
      <c r="D5">
        <f>SUM(D2:D3)</f>
        <v>359.4</v>
      </c>
      <c r="E5">
        <f>SUM(E2:E3)</f>
        <v>611.5</v>
      </c>
      <c r="G5" s="7">
        <v>612</v>
      </c>
      <c r="H5" s="7">
        <v>844</v>
      </c>
      <c r="I5" s="7">
        <v>612</v>
      </c>
    </row>
    <row r="6" spans="1:9" x14ac:dyDescent="0.35">
      <c r="A6" s="2"/>
      <c r="B6" t="s">
        <v>72</v>
      </c>
      <c r="G6" s="7">
        <v>89</v>
      </c>
      <c r="H6" s="7">
        <v>89</v>
      </c>
      <c r="I6" s="7">
        <v>89</v>
      </c>
    </row>
    <row r="7" spans="1:9" x14ac:dyDescent="0.35">
      <c r="B7" t="s">
        <v>7</v>
      </c>
      <c r="D7" s="3">
        <v>413.5</v>
      </c>
      <c r="E7" s="3">
        <v>744.9</v>
      </c>
      <c r="G7" s="7">
        <f>G6+G5</f>
        <v>701</v>
      </c>
      <c r="H7" s="7">
        <f t="shared" ref="H7:I7" si="0">H6+H5</f>
        <v>933</v>
      </c>
      <c r="I7" s="7">
        <v>1243</v>
      </c>
    </row>
    <row r="8" spans="1:9" x14ac:dyDescent="0.35">
      <c r="B8" t="s">
        <v>8</v>
      </c>
      <c r="D8">
        <v>50.6</v>
      </c>
      <c r="E8">
        <v>137.6</v>
      </c>
      <c r="G8" s="7">
        <v>97</v>
      </c>
      <c r="H8" s="7">
        <v>140</v>
      </c>
      <c r="I8" s="7">
        <v>150</v>
      </c>
    </row>
    <row r="9" spans="1:9" x14ac:dyDescent="0.35">
      <c r="B9" s="3" t="s">
        <v>68</v>
      </c>
      <c r="C9" s="3"/>
      <c r="D9" s="3">
        <f>D7-D8</f>
        <v>362.9</v>
      </c>
      <c r="E9" s="3">
        <f>E7-E8</f>
        <v>607.29999999999995</v>
      </c>
      <c r="G9" s="7">
        <f t="shared" ref="G9:H9" si="1">G7-G8</f>
        <v>604</v>
      </c>
      <c r="H9" s="7">
        <f t="shared" si="1"/>
        <v>793</v>
      </c>
      <c r="I9" s="7">
        <f>I7-I8</f>
        <v>1093</v>
      </c>
    </row>
    <row r="10" spans="1:9" x14ac:dyDescent="0.35">
      <c r="B10" t="s">
        <v>9</v>
      </c>
      <c r="D10">
        <v>200.4</v>
      </c>
      <c r="E10">
        <v>773.4</v>
      </c>
      <c r="G10" s="7">
        <v>771</v>
      </c>
      <c r="H10" s="7">
        <v>877</v>
      </c>
      <c r="I10" s="7">
        <v>877</v>
      </c>
    </row>
    <row r="11" spans="1:9" x14ac:dyDescent="0.35">
      <c r="B11" t="s">
        <v>10</v>
      </c>
      <c r="D11">
        <v>127</v>
      </c>
      <c r="E11">
        <v>133.6</v>
      </c>
      <c r="G11" s="7">
        <v>283</v>
      </c>
      <c r="H11" s="7">
        <v>451</v>
      </c>
      <c r="I11" s="7">
        <v>482</v>
      </c>
    </row>
    <row r="12" spans="1:9" x14ac:dyDescent="0.35">
      <c r="B12" t="s">
        <v>75</v>
      </c>
      <c r="G12" s="7">
        <v>10</v>
      </c>
      <c r="H12" s="7">
        <v>0</v>
      </c>
      <c r="I12" s="7">
        <v>0</v>
      </c>
    </row>
    <row r="13" spans="1:9" x14ac:dyDescent="0.35">
      <c r="B13" t="s">
        <v>18</v>
      </c>
      <c r="D13">
        <v>0.6</v>
      </c>
      <c r="E13">
        <v>0.6</v>
      </c>
      <c r="G13" s="7">
        <v>1</v>
      </c>
      <c r="H13" s="7">
        <v>1</v>
      </c>
      <c r="I13" s="7">
        <v>2</v>
      </c>
    </row>
    <row r="14" spans="1:9" x14ac:dyDescent="0.35">
      <c r="B14" t="s">
        <v>69</v>
      </c>
      <c r="D14">
        <f>SUM(D10:D13)</f>
        <v>328</v>
      </c>
      <c r="E14">
        <f>SUM(E10:E13)</f>
        <v>907.6</v>
      </c>
      <c r="G14" s="7">
        <f>SUM(G10:G13)</f>
        <v>1065</v>
      </c>
      <c r="H14" s="7">
        <f t="shared" ref="H14:I14" si="2">SUM(H10:H13)</f>
        <v>1329</v>
      </c>
      <c r="I14" s="7">
        <f t="shared" si="2"/>
        <v>1361</v>
      </c>
    </row>
    <row r="15" spans="1:9" x14ac:dyDescent="0.35">
      <c r="B15" t="s">
        <v>11</v>
      </c>
      <c r="D15" s="3">
        <f>D9-D14</f>
        <v>34.899999999999977</v>
      </c>
      <c r="E15" s="3">
        <f>E9-E14</f>
        <v>-300.30000000000007</v>
      </c>
      <c r="G15" s="7">
        <f>G9-G14</f>
        <v>-461</v>
      </c>
      <c r="H15" s="7">
        <f t="shared" ref="H15:I15" si="3">H9-H14</f>
        <v>-536</v>
      </c>
      <c r="I15" s="7">
        <f>I9-I14</f>
        <v>-268</v>
      </c>
    </row>
    <row r="16" spans="1:9" x14ac:dyDescent="0.35">
      <c r="B16" t="s">
        <v>12</v>
      </c>
      <c r="D16">
        <v>6.5</v>
      </c>
      <c r="E16">
        <v>-83.1</v>
      </c>
      <c r="G16" s="7">
        <v>41</v>
      </c>
      <c r="H16" s="7">
        <v>-154</v>
      </c>
      <c r="I16" s="7">
        <v>-252</v>
      </c>
    </row>
    <row r="17" spans="2:9" x14ac:dyDescent="0.35">
      <c r="B17" t="s">
        <v>13</v>
      </c>
      <c r="D17">
        <f>SUM(D15:D16)</f>
        <v>41.399999999999977</v>
      </c>
      <c r="E17">
        <f>SUM(E15:E16)</f>
        <v>-383.40000000000009</v>
      </c>
      <c r="G17" s="7">
        <f>G15+G16</f>
        <v>-420</v>
      </c>
      <c r="H17" s="7">
        <f>H15+H16</f>
        <v>-690</v>
      </c>
      <c r="I17" s="7">
        <f t="shared" ref="H17:I17" si="4">I15+I16</f>
        <v>-520</v>
      </c>
    </row>
    <row r="18" spans="2:9" x14ac:dyDescent="0.35">
      <c r="B18" t="s">
        <v>14</v>
      </c>
      <c r="D18">
        <v>5.3</v>
      </c>
      <c r="E18">
        <v>64</v>
      </c>
      <c r="G18">
        <v>0</v>
      </c>
      <c r="H18">
        <v>14</v>
      </c>
      <c r="I18">
        <v>16</v>
      </c>
    </row>
    <row r="19" spans="2:9" x14ac:dyDescent="0.35">
      <c r="B19" t="s">
        <v>15</v>
      </c>
      <c r="D19">
        <f>D17-D18</f>
        <v>36.09999999999998</v>
      </c>
      <c r="E19">
        <f>E17-E18</f>
        <v>-447.40000000000009</v>
      </c>
      <c r="G19" s="7">
        <f>G17-G18</f>
        <v>-420</v>
      </c>
      <c r="H19" s="7">
        <f t="shared" ref="H19:I19" si="5">H17-H18</f>
        <v>-704</v>
      </c>
      <c r="I19" s="7">
        <f>I17-I18</f>
        <v>-536</v>
      </c>
    </row>
    <row r="20" spans="2:9" x14ac:dyDescent="0.35">
      <c r="B20" t="s">
        <v>16</v>
      </c>
      <c r="D20">
        <v>-1.6</v>
      </c>
      <c r="E20">
        <v>0.2</v>
      </c>
      <c r="G20">
        <v>0</v>
      </c>
      <c r="H20">
        <v>-2</v>
      </c>
      <c r="I20">
        <v>3</v>
      </c>
    </row>
    <row r="21" spans="2:9" x14ac:dyDescent="0.35">
      <c r="B21" t="s">
        <v>17</v>
      </c>
      <c r="D21">
        <f>SUM(D19:D20)</f>
        <v>34.499999999999979</v>
      </c>
      <c r="E21">
        <f>SUM(E19:E20)</f>
        <v>-447.2000000000001</v>
      </c>
    </row>
    <row r="23" spans="2:9" x14ac:dyDescent="0.35">
      <c r="B23" t="s">
        <v>19</v>
      </c>
      <c r="D23">
        <v>0.38</v>
      </c>
      <c r="E23">
        <v>-4.5999999999999996</v>
      </c>
      <c r="G23">
        <v>-5.8</v>
      </c>
      <c r="H23">
        <v>-8.02</v>
      </c>
      <c r="I23">
        <v>-5.15</v>
      </c>
    </row>
    <row r="24" spans="2:9" x14ac:dyDescent="0.35">
      <c r="B24" t="s">
        <v>20</v>
      </c>
      <c r="D24">
        <v>0.37</v>
      </c>
      <c r="E24">
        <v>-4.5999999999999996</v>
      </c>
    </row>
    <row r="28" spans="2:9" x14ac:dyDescent="0.35">
      <c r="B28" t="s">
        <v>21</v>
      </c>
      <c r="E28" s="4">
        <f>E7/D7-1</f>
        <v>0.80145102781136623</v>
      </c>
    </row>
  </sheetData>
  <hyperlinks>
    <hyperlink ref="A1" location="main!A1" display="main" xr:uid="{CB9C7D5B-33E3-48C9-8035-77B1819DDA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E49F-939A-4B42-8AB8-1D13A18DE475}">
  <dimension ref="A1:C10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t="s">
        <v>6</v>
      </c>
    </row>
    <row r="2" spans="1:3" x14ac:dyDescent="0.35">
      <c r="B2" t="s">
        <v>49</v>
      </c>
    </row>
    <row r="3" spans="1:3" x14ac:dyDescent="0.35">
      <c r="B3" t="s">
        <v>33</v>
      </c>
      <c r="C3" t="s">
        <v>54</v>
      </c>
    </row>
    <row r="4" spans="1:3" x14ac:dyDescent="0.35">
      <c r="B4" t="s">
        <v>38</v>
      </c>
    </row>
    <row r="5" spans="1:3" x14ac:dyDescent="0.35">
      <c r="B5" t="s">
        <v>50</v>
      </c>
    </row>
    <row r="7" spans="1:3" x14ac:dyDescent="0.35">
      <c r="B7" t="s">
        <v>51</v>
      </c>
    </row>
    <row r="8" spans="1:3" x14ac:dyDescent="0.35">
      <c r="C8" t="s">
        <v>52</v>
      </c>
    </row>
    <row r="10" spans="1:3" x14ac:dyDescent="0.35">
      <c r="C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2025-05-28T22:24:02Z</dcterms:modified>
</cp:coreProperties>
</file>