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9F128998-D1A4-467A-9A55-CC711BD71AD1}" xr6:coauthVersionLast="47" xr6:coauthVersionMax="47" xr10:uidLastSave="{00000000-0000-0000-0000-000000000000}"/>
  <bookViews>
    <workbookView minimized="1" xWindow="10550" yWindow="3760" windowWidth="22340" windowHeight="13930" activeTab="2" xr2:uid="{209CB2CF-8624-4DAA-8328-4288A5F3ADFC}"/>
  </bookViews>
  <sheets>
    <sheet name="main" sheetId="1" r:id="rId1"/>
    <sheet name="Option" sheetId="2" r:id="rId2"/>
    <sheet name="Bond" sheetId="3" r:id="rId3"/>
    <sheet name="B_cashflows" sheetId="5" r:id="rId4"/>
    <sheet name="Futur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2" i="3" s="1"/>
  <c r="C14" i="3"/>
  <c r="G42" i="3"/>
  <c r="G41" i="3"/>
  <c r="C15" i="3"/>
  <c r="C13" i="3" l="1"/>
  <c r="B29" i="3" l="1"/>
  <c r="C29" i="3"/>
  <c r="B30" i="3"/>
  <c r="B28" i="3"/>
  <c r="G29" i="3"/>
  <c r="F29" i="3"/>
  <c r="C28" i="3"/>
  <c r="B27" i="3" l="1"/>
  <c r="D28" i="3"/>
  <c r="B31" i="3"/>
  <c r="D30" i="3"/>
  <c r="F28" i="3"/>
  <c r="G28" i="3"/>
  <c r="G30" i="3"/>
  <c r="F30" i="3"/>
  <c r="C30" i="3"/>
  <c r="H29" i="3" l="1"/>
  <c r="C16" i="3" s="1"/>
  <c r="B32" i="3"/>
  <c r="D31" i="3"/>
  <c r="B26" i="3"/>
  <c r="G27" i="3"/>
  <c r="D27" i="3"/>
  <c r="H28" i="3"/>
  <c r="I28" i="3" s="1"/>
  <c r="G31" i="3"/>
  <c r="C31" i="3"/>
  <c r="F31" i="3"/>
  <c r="F27" i="3"/>
  <c r="C27" i="3"/>
  <c r="I29" i="3" l="1"/>
  <c r="E31" i="3"/>
  <c r="E27" i="3"/>
  <c r="B33" i="3"/>
  <c r="C32" i="3"/>
  <c r="F32" i="3"/>
  <c r="G32" i="3"/>
  <c r="E32" i="3"/>
  <c r="D32" i="3"/>
  <c r="B25" i="3"/>
  <c r="F26" i="3"/>
  <c r="C26" i="3"/>
  <c r="G26" i="3"/>
  <c r="E26" i="3"/>
  <c r="D26" i="3"/>
  <c r="H30" i="3"/>
  <c r="I30" i="3" s="1"/>
  <c r="E28" i="3"/>
  <c r="E30" i="3"/>
  <c r="H27" i="3"/>
  <c r="I27" i="3" s="1"/>
  <c r="H26" i="3" l="1"/>
  <c r="I26" i="3" s="1"/>
  <c r="B24" i="3"/>
  <c r="C25" i="3"/>
  <c r="F25" i="3"/>
  <c r="G25" i="3"/>
  <c r="H25" i="3" s="1"/>
  <c r="E25" i="3"/>
  <c r="D25" i="3"/>
  <c r="H31" i="3"/>
  <c r="I31" i="3" s="1"/>
  <c r="B34" i="3"/>
  <c r="C33" i="3"/>
  <c r="G33" i="3"/>
  <c r="H32" i="3" s="1"/>
  <c r="I32" i="3" s="1"/>
  <c r="F33" i="3"/>
  <c r="E33" i="3"/>
  <c r="D33" i="3"/>
  <c r="I25" i="3" l="1"/>
  <c r="B35" i="3"/>
  <c r="C34" i="3"/>
  <c r="G34" i="3"/>
  <c r="H33" i="3" s="1"/>
  <c r="I33" i="3" s="1"/>
  <c r="F34" i="3"/>
  <c r="D34" i="3"/>
  <c r="E34" i="3"/>
  <c r="B23" i="3"/>
  <c r="C24" i="3"/>
  <c r="G24" i="3"/>
  <c r="H24" i="3" s="1"/>
  <c r="F24" i="3"/>
  <c r="E24" i="3"/>
  <c r="D24" i="3"/>
  <c r="B22" i="3" l="1"/>
  <c r="D23" i="3"/>
  <c r="I24" i="3"/>
  <c r="F23" i="3"/>
  <c r="G23" i="3"/>
  <c r="H23" i="3" s="1"/>
  <c r="C23" i="3"/>
  <c r="E23" i="3"/>
  <c r="B36" i="3"/>
  <c r="G35" i="3"/>
  <c r="F35" i="3"/>
  <c r="C35" i="3"/>
  <c r="E35" i="3"/>
  <c r="D35" i="3"/>
  <c r="J31" i="3" l="1"/>
  <c r="J28" i="3"/>
  <c r="J30" i="3"/>
  <c r="J29" i="3"/>
  <c r="J27" i="3"/>
  <c r="J25" i="3"/>
  <c r="J24" i="3"/>
  <c r="J35" i="3"/>
  <c r="J34" i="3"/>
  <c r="J33" i="3"/>
  <c r="J32" i="3"/>
  <c r="J26" i="3"/>
  <c r="J23" i="3"/>
  <c r="I23" i="3"/>
  <c r="G36" i="3"/>
  <c r="H35" i="3" s="1"/>
  <c r="I35" i="3" s="1"/>
  <c r="C36" i="3"/>
  <c r="F36" i="3"/>
  <c r="E36" i="3"/>
  <c r="D36" i="3"/>
  <c r="G22" i="3"/>
  <c r="C22" i="3"/>
  <c r="F22" i="3"/>
  <c r="D22" i="3"/>
  <c r="E22" i="3"/>
  <c r="H34" i="3"/>
  <c r="I34" i="3" s="1"/>
  <c r="K29" i="3" l="1"/>
  <c r="K25" i="3"/>
  <c r="K31" i="3"/>
  <c r="K27" i="3"/>
  <c r="K33" i="3"/>
  <c r="K24" i="3"/>
  <c r="K30" i="3"/>
  <c r="K26" i="3"/>
  <c r="K32" i="3"/>
  <c r="K28" i="3"/>
  <c r="K35" i="3"/>
  <c r="K23" i="3"/>
  <c r="K34" i="3"/>
</calcChain>
</file>

<file path=xl/sharedStrings.xml><?xml version="1.0" encoding="utf-8"?>
<sst xmlns="http://schemas.openxmlformats.org/spreadsheetml/2006/main" count="71" uniqueCount="68">
  <si>
    <t>Option</t>
  </si>
  <si>
    <t>Instrument</t>
  </si>
  <si>
    <t>Bond</t>
  </si>
  <si>
    <t>Futures</t>
  </si>
  <si>
    <t>main</t>
  </si>
  <si>
    <t>IF(P1=Maturity_Date, Coupon + Face_Value, IF(COUNTIF(Coupon_Dates_Range, P1)&gt;0, Coupon, 0))</t>
  </si>
  <si>
    <t>=IF(AND(R1 &gt;= $C$7, R1 &lt;= $C$8),</t>
  </si>
  <si>
    <t xml:space="preserve">    IF($C$5 = 0,</t>
  </si>
  <si>
    <t xml:space="preserve">                $C$4 * $C$5 / $C$6),</t>
  </si>
  <si>
    <t xml:space="preserve">            0)),</t>
  </si>
  <si>
    <t xml:space="preserve">    0)</t>
  </si>
  <si>
    <t xml:space="preserve">        IF(AND(YEAR(R1) = YEAR($C$8), MONTH(R1) = MONTH($C$8)), $C$4, 0),</t>
  </si>
  <si>
    <t xml:space="preserve">        IF(AND(MOD(DATEDIF($C$7, R1, "m") * $C$6 / 12, 1) = 0,</t>
  </si>
  <si>
    <t xml:space="preserve">               DAY(R1) &gt;= DAY($C$7)),</t>
  </si>
  <si>
    <t xml:space="preserve">            IF(AND(YEAR(R1) = YEAR($C$8), MONTH(R1) = MONTH($C$8)),</t>
  </si>
  <si>
    <t xml:space="preserve">                $C$4 + $C$4 * $C$5 / $C$6,</t>
  </si>
  <si>
    <t>YTM</t>
  </si>
  <si>
    <t>YTM matrix</t>
  </si>
  <si>
    <t>price</t>
  </si>
  <si>
    <t xml:space="preserve">Clean Price    </t>
  </si>
  <si>
    <t xml:space="preserve">Dirty Price    </t>
  </si>
  <si>
    <t xml:space="preserve">Yield           </t>
  </si>
  <si>
    <t xml:space="preserve">Macaulay Dur    </t>
  </si>
  <si>
    <t xml:space="preserve">Modified Dur    </t>
  </si>
  <si>
    <t>Convexity</t>
  </si>
  <si>
    <t>Mduration</t>
  </si>
  <si>
    <t>Duration</t>
  </si>
  <si>
    <t>Dollar convexity</t>
  </si>
  <si>
    <t>Notes</t>
  </si>
  <si>
    <t>Duration impied price</t>
  </si>
  <si>
    <t>Duration Conv Implied price</t>
  </si>
  <si>
    <t>Simple</t>
  </si>
  <si>
    <t>actual</t>
  </si>
  <si>
    <t>Yield</t>
  </si>
  <si>
    <t>COMPLETE</t>
  </si>
  <si>
    <t>looks at the bond, tells its price together with convexity and duration. It also models implied prices based on this base case and gives out a graph</t>
  </si>
  <si>
    <t xml:space="preserve">Name    </t>
  </si>
  <si>
    <t xml:space="preserve">ISIN        </t>
  </si>
  <si>
    <t xml:space="preserve">Face Value  </t>
  </si>
  <si>
    <t xml:space="preserve">Coupon Rate    </t>
  </si>
  <si>
    <t xml:space="preserve">Coupon Freq.   </t>
  </si>
  <si>
    <t xml:space="preserve">Settlement    </t>
  </si>
  <si>
    <t xml:space="preserve">Maturity </t>
  </si>
  <si>
    <t>Dynamic Duration implied price</t>
  </si>
  <si>
    <t>Dynamic Conv Dur Price</t>
  </si>
  <si>
    <t xml:space="preserve">C </t>
  </si>
  <si>
    <t>T</t>
  </si>
  <si>
    <t>R</t>
  </si>
  <si>
    <t>S</t>
  </si>
  <si>
    <t>I</t>
  </si>
  <si>
    <t>COMMODITY PRICE</t>
  </si>
  <si>
    <t>TIME TO MATURITY OF FORWARD CONTRACT</t>
  </si>
  <si>
    <t>INTEREST RATE</t>
  </si>
  <si>
    <t>ANNUAL STORAGE COST PER COMMODITY UNIT</t>
  </si>
  <si>
    <t>ANNUAL INSURANCE COSTS PER COMMODITY UNIT</t>
  </si>
  <si>
    <t>F</t>
  </si>
  <si>
    <t>FORWARD PRICE</t>
  </si>
  <si>
    <t>ARBITRAGE MODEL WITH NO ARBITRAGE BOUND</t>
  </si>
  <si>
    <t>CASH AND CARRY POSITIONS</t>
  </si>
  <si>
    <t>S0e(Rlend)t - tc1 &lt; F &lt; S0e(Rborrow)t + tc2</t>
  </si>
  <si>
    <t>convenience yield</t>
  </si>
  <si>
    <t>consider all types of spreads</t>
  </si>
  <si>
    <t>you should always be aware fo the underlying</t>
  </si>
  <si>
    <t>lecture 8 vid!!!</t>
  </si>
  <si>
    <t>checker for contango or backwardation</t>
  </si>
  <si>
    <t>basis is equal to the spot price and the futures price</t>
  </si>
  <si>
    <t>basis is negative in contango</t>
  </si>
  <si>
    <t>basis is positive in backwardation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</si>
</sst>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1" fillId="0" borderId="0" xfId="0" applyFont="1"/>
    <xf numFmtId="14" fontId="0" fillId="0" borderId="0" xfId="0" applyNumberFormat="1"/>
    <xf numFmtId="0" fontId="3" fillId="0" borderId="0" xfId="0" applyFont="1"/>
    <xf numFmtId="9" fontId="0" fillId="0" borderId="0" xfId="2" applyFont="1"/>
    <xf numFmtId="10" fontId="0" fillId="0" borderId="0" xfId="2" applyNumberFormat="1" applyFont="1"/>
    <xf numFmtId="2" fontId="0" fillId="0" borderId="0" xfId="2" applyNumberFormat="1" applyFont="1"/>
    <xf numFmtId="165" fontId="0" fillId="0" borderId="0" xfId="0" applyNumberFormat="1"/>
    <xf numFmtId="0" fontId="5" fillId="0" borderId="0" xfId="0" applyFont="1"/>
    <xf numFmtId="10" fontId="0" fillId="2" borderId="0" xfId="2" applyNumberFormat="1" applyFont="1" applyFill="1"/>
    <xf numFmtId="10" fontId="1" fillId="2" borderId="0" xfId="2" applyNumberFormat="1" applyFont="1" applyFill="1"/>
    <xf numFmtId="164" fontId="0" fillId="0" borderId="0" xfId="2" applyNumberFormat="1" applyFont="1"/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Bond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Bond!$B$23:$B$35</c15:sqref>
                  </c15:fullRef>
                </c:ext>
              </c:extLst>
              <c:f>(Bond!$B$23:$B$27,Bond!$B$29,Bond!$B$31:$B$35)</c:f>
              <c:numCache>
                <c:formatCode>0.00%</c:formatCode>
                <c:ptCount val="11"/>
                <c:pt idx="0">
                  <c:v>8.0099999999999963E-2</c:v>
                </c:pt>
                <c:pt idx="1">
                  <c:v>7.6099999999999959E-2</c:v>
                </c:pt>
                <c:pt idx="2">
                  <c:v>7.2099999999999956E-2</c:v>
                </c:pt>
                <c:pt idx="3">
                  <c:v>6.8099999999999952E-2</c:v>
                </c:pt>
                <c:pt idx="4">
                  <c:v>6.4099999999999949E-2</c:v>
                </c:pt>
                <c:pt idx="5">
                  <c:v>5.9999999999999942E-2</c:v>
                </c:pt>
                <c:pt idx="6">
                  <c:v>5.5899999999999936E-2</c:v>
                </c:pt>
                <c:pt idx="7">
                  <c:v>5.1899999999999932E-2</c:v>
                </c:pt>
                <c:pt idx="8">
                  <c:v>4.7899999999999929E-2</c:v>
                </c:pt>
                <c:pt idx="9">
                  <c:v>4.3899999999999925E-2</c:v>
                </c:pt>
                <c:pt idx="10">
                  <c:v>3.9899999999999922E-2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Bond!$C$23:$C$35</c15:sqref>
                  </c15:fullRef>
                </c:ext>
              </c:extLst>
              <c:f>(Bond!$C$23:$C$27,Bond!$C$29,Bond!$C$31:$C$35)</c:f>
              <c:numCache>
                <c:formatCode>General</c:formatCode>
                <c:ptCount val="11"/>
                <c:pt idx="0">
                  <c:v>58.505489257384035</c:v>
                </c:pt>
                <c:pt idx="1">
                  <c:v>60.558000633272627</c:v>
                </c:pt>
                <c:pt idx="2">
                  <c:v>62.693564892435262</c:v>
                </c:pt>
                <c:pt idx="3">
                  <c:v>64.915788720684432</c:v>
                </c:pt>
                <c:pt idx="4">
                  <c:v>67.228444178392081</c:v>
                </c:pt>
                <c:pt idx="5">
                  <c:v>69.696896971867631</c:v>
                </c:pt>
                <c:pt idx="6">
                  <c:v>72.268952399286604</c:v>
                </c:pt>
                <c:pt idx="7">
                  <c:v>74.882568559714869</c:v>
                </c:pt>
                <c:pt idx="8">
                  <c:v>77.603754841217892</c:v>
                </c:pt>
                <c:pt idx="9">
                  <c:v>80.437248557634632</c:v>
                </c:pt>
                <c:pt idx="10">
                  <c:v>83.388007087999739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A0E8-40A5-90D5-D3A1C248E15D}"/>
            </c:ext>
          </c:extLst>
        </c:ser>
        <c:ser>
          <c:idx val="1"/>
          <c:order val="1"/>
          <c:tx>
            <c:v>Convex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8.01%</c:v>
              </c:pt>
              <c:pt idx="1">
                <c:v>7.61%</c:v>
              </c:pt>
              <c:pt idx="2">
                <c:v>7.21%</c:v>
              </c:pt>
              <c:pt idx="3">
                <c:v>6.81%</c:v>
              </c:pt>
              <c:pt idx="4">
                <c:v>6.41%</c:v>
              </c:pt>
              <c:pt idx="5">
                <c:v>6.00%</c:v>
              </c:pt>
              <c:pt idx="6">
                <c:v>5.59%</c:v>
              </c:pt>
              <c:pt idx="7">
                <c:v>5.19%</c:v>
              </c:pt>
              <c:pt idx="8">
                <c:v>4.79%</c:v>
              </c:pt>
              <c:pt idx="9">
                <c:v>4.39%</c:v>
              </c:pt>
              <c:pt idx="10">
                <c:v>3.99%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Bond!$K$23:$K$35</c15:sqref>
                  </c15:fullRef>
                </c:ext>
              </c:extLst>
              <c:f>(Bond!$K$23:$K$27,Bond!$K$29,Bond!$K$31:$K$35)</c:f>
              <c:numCache>
                <c:formatCode>General</c:formatCode>
                <c:ptCount val="11"/>
                <c:pt idx="0">
                  <c:v>58.409025342500634</c:v>
                </c:pt>
                <c:pt idx="1">
                  <c:v>60.450746107314231</c:v>
                </c:pt>
                <c:pt idx="2">
                  <c:v>62.594142324548073</c:v>
                </c:pt>
                <c:pt idx="3">
                  <c:v>64.839213994202169</c:v>
                </c:pt>
                <c:pt idx="4">
                  <c:v>67.185961116276516</c:v>
                </c:pt>
                <c:pt idx="5">
                  <c:v>69.696896971867631</c:v>
                </c:pt>
                <c:pt idx="6">
                  <c:v>72.314655599657755</c:v>
                </c:pt>
                <c:pt idx="7">
                  <c:v>74.97151285161388</c:v>
                </c:pt>
                <c:pt idx="8">
                  <c:v>77.730045555990259</c:v>
                </c:pt>
                <c:pt idx="9">
                  <c:v>80.590253712786875</c:v>
                </c:pt>
                <c:pt idx="10">
                  <c:v>83.552137322003759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A0E8-40A5-90D5-D3A1C248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680479"/>
        <c:axId val="358680959"/>
      </c:lineChart>
      <c:catAx>
        <c:axId val="35868047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58680959"/>
        <c:crosses val="autoZero"/>
        <c:auto val="1"/>
        <c:lblAlgn val="ctr"/>
        <c:lblOffset val="100"/>
        <c:noMultiLvlLbl val="0"/>
      </c:catAx>
      <c:valAx>
        <c:axId val="35868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5868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406399</xdr:colOff>
      <xdr:row>18</xdr:row>
      <xdr:rowOff>172358</xdr:rowOff>
    </xdr:from>
    <xdr:to>
      <xdr:col>23</xdr:col>
      <xdr:colOff>535213</xdr:colOff>
      <xdr:row>49</xdr:row>
      <xdr:rowOff>117930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98B53-6DD3-FDB7-5D9E-5E2618F4F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396782</xdr:colOff>
      <xdr:row>13</xdr:row>
      <xdr:rowOff>25400</xdr:rowOff>
    </xdr:from>
    <xdr:to>
      <xdr:col>15</xdr:col>
      <xdr:colOff>391160</xdr:colOff>
      <xdr:row>27</xdr:row>
      <xdr:rowOff>0</xdr:rowOff>
    </xdr:to>
    <xdr:pic>
      <xdr:nvPicPr>
        <xdr:cNvPr id="2" name="Picture 1" descr="A graph of a graph with text&#10;&#10;AI-generated content may be incorrect.">
          <a:extLst>
            <a:ext uri="{FF2B5EF4-FFF2-40B4-BE49-F238E27FC236}">
              <a16:creationId xmlns:a16="http://schemas.microsoft.com/office/drawing/2014/main" id="{60E10102-66FC-E821-C3EF-A296B537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0932" y="2419350"/>
          <a:ext cx="4871178" cy="255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F039-6B32-4B52-BCE7-914600F6DE80}">
  <dimension ref="B2:D5"/>
  <sheetViews>
    <sheetView workbookViewId="0">
      <selection activeCell="D5" sqref="D5"/>
    </sheetView>
  </sheetViews>
  <sheetFormatPr defaultRowHeight="14.5" x14ac:dyDescent="0.35"/>
  <cols>
    <col min="1" max="1" width="4.08984375" customWidth="1"/>
  </cols>
  <sheetData>
    <row r="2" spans="2:4" x14ac:dyDescent="0.35">
      <c r="B2" s="2" t="s">
        <v>1</v>
      </c>
    </row>
    <row r="3" spans="2:4" x14ac:dyDescent="0.35">
      <c r="B3" s="1" t="s">
        <v>0</v>
      </c>
    </row>
    <row r="4" spans="2:4" x14ac:dyDescent="0.35">
      <c r="B4" s="1" t="s">
        <v>2</v>
      </c>
      <c r="C4" t="s">
        <v>34</v>
      </c>
      <c r="D4" t="s">
        <v>35</v>
      </c>
    </row>
    <row r="5" spans="2:4" x14ac:dyDescent="0.35">
      <c r="B5" s="1" t="s">
        <v>3</v>
      </c>
    </row>
  </sheetData>
  <hyperlinks>
    <hyperlink ref="B3" location="Option!A1" display="Option" xr:uid="{F20FEC25-4E67-46FD-A06B-BDF97B6C99A2}"/>
    <hyperlink ref="B4" location="Bond!A1" display="Bond" xr:uid="{6F459147-86DC-4956-A3D2-6401C3088730}"/>
    <hyperlink ref="B5" location="Futures!A1" display="Futures" xr:uid="{7DDB001C-9DFF-4D1C-8446-C9A63F7E9C4C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63A0-52A1-4017-8B5A-A06677F82AB6}">
  <dimension ref="A1"/>
  <sheetViews>
    <sheetView workbookViewId="0"/>
  </sheetViews>
  <sheetFormatPr defaultRowHeight="14.5" x14ac:dyDescent="0.35"/>
  <cols>
    <col min="1" max="1" width="4.81640625" bestFit="1" customWidth="1"/>
  </cols>
  <sheetData>
    <row r="1" spans="1:1" x14ac:dyDescent="0.35">
      <c r="A1" s="1" t="s">
        <v>4</v>
      </c>
    </row>
  </sheetData>
  <hyperlinks>
    <hyperlink ref="A1" location="main!A1" display="main" xr:uid="{C0F08995-1517-4724-AB3D-B7D3001A1D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263C-5F43-4FDE-953F-FE6687714EA8}">
  <dimension ref="A1:GI51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4" sqref="K4"/>
    </sheetView>
  </sheetViews>
  <sheetFormatPr defaultRowHeight="14.5" x14ac:dyDescent="0.35"/>
  <cols>
    <col min="2" max="2" width="26.08984375" bestFit="1" customWidth="1"/>
    <col min="3" max="3" width="11.81640625" bestFit="1" customWidth="1"/>
    <col min="4" max="4" width="18.26953125" bestFit="1" customWidth="1"/>
    <col min="5" max="5" width="24.453125" bestFit="1" customWidth="1"/>
    <col min="6" max="7" width="11.81640625" bestFit="1" customWidth="1"/>
    <col min="8" max="8" width="15.453125" customWidth="1"/>
    <col min="9" max="9" width="14.26953125" bestFit="1" customWidth="1"/>
    <col min="10" max="10" width="19.1796875" bestFit="1" customWidth="1"/>
    <col min="11" max="11" width="12.1796875" customWidth="1"/>
    <col min="13" max="13" width="5.7265625" bestFit="1" customWidth="1"/>
    <col min="14" max="14" width="20.36328125" bestFit="1" customWidth="1"/>
    <col min="15" max="15" width="11.81640625" bestFit="1" customWidth="1"/>
    <col min="16" max="19" width="9.08984375" bestFit="1" customWidth="1"/>
    <col min="20" max="22" width="10.08984375" bestFit="1" customWidth="1"/>
    <col min="23" max="31" width="9.08984375" bestFit="1" customWidth="1"/>
    <col min="32" max="34" width="10.08984375" bestFit="1" customWidth="1"/>
    <col min="35" max="37" width="9.08984375" bestFit="1" customWidth="1"/>
    <col min="46" max="46" width="10.08984375" bestFit="1" customWidth="1"/>
    <col min="56" max="56" width="10.08984375" bestFit="1" customWidth="1"/>
    <col min="68" max="70" width="10.08984375" bestFit="1" customWidth="1"/>
    <col min="71" max="71" width="9.08984375" bestFit="1" customWidth="1"/>
    <col min="75" max="75" width="9.08984375" bestFit="1" customWidth="1"/>
    <col min="79" max="79" width="9.08984375" bestFit="1" customWidth="1"/>
    <col min="90" max="90" width="9.08984375" bestFit="1" customWidth="1"/>
    <col min="160" max="160" width="9.08984375" bestFit="1" customWidth="1"/>
    <col min="180" max="182" width="9.08984375" bestFit="1" customWidth="1"/>
    <col min="185" max="185" width="9.08984375" bestFit="1" customWidth="1"/>
    <col min="190" max="190" width="10.08984375" bestFit="1" customWidth="1"/>
    <col min="191" max="191" width="9.08984375" bestFit="1" customWidth="1"/>
  </cols>
  <sheetData>
    <row r="1" spans="1:191" x14ac:dyDescent="0.35">
      <c r="A1" s="1" t="s">
        <v>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</row>
    <row r="2" spans="1:191" x14ac:dyDescent="0.35">
      <c r="A2" s="1"/>
      <c r="B2" t="s">
        <v>36</v>
      </c>
      <c r="N2" s="4"/>
    </row>
    <row r="3" spans="1:191" x14ac:dyDescent="0.35">
      <c r="A3" s="1"/>
      <c r="B3" t="s">
        <v>37</v>
      </c>
      <c r="N3" s="4"/>
    </row>
    <row r="4" spans="1:191" x14ac:dyDescent="0.35">
      <c r="B4" t="s">
        <v>38</v>
      </c>
      <c r="C4">
        <v>100</v>
      </c>
      <c r="N4" s="4"/>
    </row>
    <row r="5" spans="1:191" x14ac:dyDescent="0.35">
      <c r="B5" t="s">
        <v>39</v>
      </c>
      <c r="C5">
        <v>0.02</v>
      </c>
      <c r="N5" s="4"/>
    </row>
    <row r="6" spans="1:191" x14ac:dyDescent="0.35">
      <c r="B6" t="s">
        <v>40</v>
      </c>
      <c r="C6">
        <v>2</v>
      </c>
      <c r="N6" s="4"/>
    </row>
    <row r="7" spans="1:191" x14ac:dyDescent="0.35">
      <c r="B7" t="s">
        <v>41</v>
      </c>
      <c r="C7" s="3">
        <v>45838</v>
      </c>
      <c r="D7" s="3"/>
      <c r="E7" s="3"/>
      <c r="N7" s="4"/>
    </row>
    <row r="8" spans="1:191" x14ac:dyDescent="0.35">
      <c r="B8" t="s">
        <v>42</v>
      </c>
      <c r="C8" s="3">
        <v>49582</v>
      </c>
      <c r="D8" s="3"/>
      <c r="E8" s="3"/>
      <c r="N8" s="4"/>
      <c r="O8" s="3"/>
    </row>
    <row r="9" spans="1:191" x14ac:dyDescent="0.35">
      <c r="B9" t="s">
        <v>33</v>
      </c>
      <c r="C9" s="5">
        <v>0.06</v>
      </c>
      <c r="D9" s="5"/>
      <c r="E9" s="5"/>
      <c r="N9" s="4"/>
    </row>
    <row r="10" spans="1:191" x14ac:dyDescent="0.35">
      <c r="N10" s="4"/>
      <c r="O10" s="3"/>
    </row>
    <row r="11" spans="1:191" x14ac:dyDescent="0.35">
      <c r="B11" s="2" t="s">
        <v>19</v>
      </c>
      <c r="C11">
        <f>PRICE(C7,C8,C5,C9,C4,C6,1)</f>
        <v>69.696896971867631</v>
      </c>
    </row>
    <row r="12" spans="1:191" x14ac:dyDescent="0.35">
      <c r="B12" s="2" t="s">
        <v>20</v>
      </c>
      <c r="C12">
        <f>C11+ACCRINT(COUPPCD(C7,C8,C6,1),C7,C8,C5,C4,C6,1)</f>
        <v>90.707946695624543</v>
      </c>
      <c r="N12" s="4"/>
    </row>
    <row r="13" spans="1:191" x14ac:dyDescent="0.35">
      <c r="B13" s="2" t="s">
        <v>21</v>
      </c>
      <c r="C13" s="12">
        <f>YIELD(C7,C8,C5,C11,C4,C6,1)</f>
        <v>5.9999999999999942E-2</v>
      </c>
      <c r="D13" s="12"/>
    </row>
    <row r="14" spans="1:191" x14ac:dyDescent="0.35">
      <c r="B14" s="2" t="s">
        <v>22</v>
      </c>
      <c r="C14">
        <f>DURATION(C7,C8,C5,C9,C6,1)</f>
        <v>9.0170813352727439</v>
      </c>
    </row>
    <row r="15" spans="1:191" x14ac:dyDescent="0.35">
      <c r="B15" s="2" t="s">
        <v>23</v>
      </c>
      <c r="C15">
        <f>MDURATION(C7,C8,C5,C9,C6,1)</f>
        <v>8.7544478983230523</v>
      </c>
      <c r="D15" s="7"/>
      <c r="E15" s="7"/>
      <c r="O15" t="s">
        <v>5</v>
      </c>
    </row>
    <row r="16" spans="1:191" x14ac:dyDescent="0.35">
      <c r="B16" s="2" t="s">
        <v>24</v>
      </c>
      <c r="C16">
        <f>H29</f>
        <v>87.786667427066448</v>
      </c>
    </row>
    <row r="20" spans="2:11" x14ac:dyDescent="0.35">
      <c r="B20" s="4" t="s">
        <v>17</v>
      </c>
      <c r="D20" s="13" t="s">
        <v>31</v>
      </c>
      <c r="E20" s="13"/>
      <c r="J20" s="13" t="s">
        <v>32</v>
      </c>
      <c r="K20" s="13"/>
    </row>
    <row r="21" spans="2:11" x14ac:dyDescent="0.35">
      <c r="B21" s="4" t="s">
        <v>16</v>
      </c>
      <c r="C21" s="2" t="s">
        <v>18</v>
      </c>
      <c r="D21" s="2" t="s">
        <v>29</v>
      </c>
      <c r="E21" s="2" t="s">
        <v>30</v>
      </c>
      <c r="F21" s="2" t="s">
        <v>26</v>
      </c>
      <c r="G21" s="2" t="s">
        <v>25</v>
      </c>
      <c r="H21" s="2" t="s">
        <v>24</v>
      </c>
      <c r="I21" s="2" t="s">
        <v>27</v>
      </c>
      <c r="J21" s="2" t="s">
        <v>43</v>
      </c>
      <c r="K21" s="2" t="s">
        <v>44</v>
      </c>
    </row>
    <row r="22" spans="2:11" x14ac:dyDescent="0.35">
      <c r="B22" s="6">
        <f t="shared" ref="B22:B27" si="0">B23+0.4%</f>
        <v>8.4099999999999966E-2</v>
      </c>
      <c r="C22">
        <f t="shared" ref="C22:C26" si="1">PRICE($C$7,$C$8,$C$5,B22,$C$4,$C$6,1)</f>
        <v>56.532581878506875</v>
      </c>
      <c r="D22">
        <f t="shared" ref="D22:D28" si="2">(1+(-$C$14*(B22-$B$29)))*$C$11</f>
        <v>54.550948581511548</v>
      </c>
      <c r="E22">
        <f t="shared" ref="E22:E28" si="3">(1+(-$C$14*(B22-$B$29)))*$C$11+((0.5)*$C$16*(B22-$B$29)^2)*$E$29</f>
        <v>57.00384760038235</v>
      </c>
      <c r="F22">
        <f>DURATION($C$7,$C$8,$C$5,B22,$C$6,1)</f>
        <v>8.8355082987671025</v>
      </c>
      <c r="G22">
        <f>MDURATION($C$7,$C$8,$C$5,B22,$C$6,1)</f>
        <v>8.4789677067003542</v>
      </c>
    </row>
    <row r="23" spans="2:11" x14ac:dyDescent="0.35">
      <c r="B23" s="6">
        <f t="shared" si="0"/>
        <v>8.0099999999999963E-2</v>
      </c>
      <c r="C23">
        <f t="shared" si="1"/>
        <v>58.505489257384035</v>
      </c>
      <c r="D23">
        <f>(1+(-$C$14*(B23-$B$29)))*$C$11</f>
        <v>57.06479893675737</v>
      </c>
      <c r="E23">
        <f t="shared" si="3"/>
        <v>58.771029429713742</v>
      </c>
      <c r="F23">
        <f t="shared" ref="F23:F26" si="4">DURATION($C$7,$C$8,$C$5,B23,$C$6,1)</f>
        <v>8.867101951937352</v>
      </c>
      <c r="G23">
        <f t="shared" ref="G23:G26" si="5">MDURATION($C$7,$C$8,$C$5,B23,$C$6,1)</f>
        <v>8.5256496821665806</v>
      </c>
      <c r="H23">
        <f>G23^2-((G23-G24)/(B23-B24))</f>
        <v>84.261032572824803</v>
      </c>
      <c r="I23">
        <f>H23*C23</f>
        <v>4929.7329360054873</v>
      </c>
      <c r="J23">
        <f t="shared" ref="J23:J34" si="6">(1+(-G$35*(B23-$B$29)))*$C$11</f>
        <v>57.125340982116064</v>
      </c>
      <c r="K23">
        <f t="shared" ref="K23:K34" si="7">(1+(-G$35*(B23-$B$29)))*$C$11+((0.5)*H$35*(B23-$B$29)^2)*$C$11</f>
        <v>58.409025342500634</v>
      </c>
    </row>
    <row r="24" spans="2:11" x14ac:dyDescent="0.35">
      <c r="B24" s="6">
        <f t="shared" si="0"/>
        <v>7.6099999999999959E-2</v>
      </c>
      <c r="C24">
        <f t="shared" si="1"/>
        <v>60.558000633272627</v>
      </c>
      <c r="D24">
        <f t="shared" si="2"/>
        <v>59.578649292003199</v>
      </c>
      <c r="E24">
        <f t="shared" si="3"/>
        <v>60.673354883645047</v>
      </c>
      <c r="F24">
        <f t="shared" si="4"/>
        <v>8.8981095858888324</v>
      </c>
      <c r="G24">
        <f t="shared" si="5"/>
        <v>8.5719470024457713</v>
      </c>
      <c r="H24">
        <f t="shared" ref="H24:H26" si="8">G24^2-((G24-G25)/(B24-B25))</f>
        <v>84.956930887442752</v>
      </c>
      <c r="I24">
        <f t="shared" ref="I24:I26" si="9">H24*C24</f>
        <v>5144.8218744826572</v>
      </c>
      <c r="J24">
        <f t="shared" si="6"/>
        <v>59.627143169131301</v>
      </c>
      <c r="K24">
        <f t="shared" si="7"/>
        <v>60.450746107314231</v>
      </c>
    </row>
    <row r="25" spans="2:11" x14ac:dyDescent="0.35">
      <c r="B25" s="6">
        <f t="shared" si="0"/>
        <v>7.2099999999999956E-2</v>
      </c>
      <c r="C25">
        <f t="shared" si="1"/>
        <v>62.693564892435262</v>
      </c>
      <c r="D25">
        <f t="shared" si="2"/>
        <v>62.092499647249014</v>
      </c>
      <c r="E25">
        <f t="shared" si="3"/>
        <v>62.710823962176228</v>
      </c>
      <c r="F25">
        <f t="shared" si="4"/>
        <v>8.9285355359022081</v>
      </c>
      <c r="G25">
        <f t="shared" si="5"/>
        <v>8.6178616243445862</v>
      </c>
      <c r="H25">
        <f t="shared" si="8"/>
        <v>85.651081644142607</v>
      </c>
      <c r="I25">
        <f t="shared" si="9"/>
        <v>5369.7716451643255</v>
      </c>
      <c r="J25">
        <f t="shared" si="6"/>
        <v>62.128945356146538</v>
      </c>
      <c r="K25">
        <f t="shared" si="7"/>
        <v>62.594142324548073</v>
      </c>
    </row>
    <row r="26" spans="2:11" x14ac:dyDescent="0.35">
      <c r="B26" s="6">
        <f t="shared" si="0"/>
        <v>6.8099999999999952E-2</v>
      </c>
      <c r="C26">
        <f t="shared" si="1"/>
        <v>64.915788720684432</v>
      </c>
      <c r="D26">
        <f t="shared" si="2"/>
        <v>64.606350002494835</v>
      </c>
      <c r="E26">
        <f t="shared" si="3"/>
        <v>64.883436665307315</v>
      </c>
      <c r="F26">
        <f t="shared" si="4"/>
        <v>8.9583844218360387</v>
      </c>
      <c r="G26">
        <f t="shared" si="5"/>
        <v>8.6633957950157523</v>
      </c>
      <c r="H26">
        <f t="shared" si="8"/>
        <v>86.343487941643119</v>
      </c>
      <c r="I26">
        <f t="shared" si="9"/>
        <v>5605.0556206266683</v>
      </c>
      <c r="J26">
        <f t="shared" si="6"/>
        <v>64.630747543161775</v>
      </c>
      <c r="K26">
        <f t="shared" si="7"/>
        <v>64.839213994202169</v>
      </c>
    </row>
    <row r="27" spans="2:11" x14ac:dyDescent="0.35">
      <c r="B27" s="6">
        <f t="shared" si="0"/>
        <v>6.4099999999999949E-2</v>
      </c>
      <c r="C27">
        <f>PRICE($C$7,$C$8,$C$5,B27,$C$4,$C$6,1)</f>
        <v>67.228444178392081</v>
      </c>
      <c r="D27">
        <f t="shared" si="2"/>
        <v>67.120200357740657</v>
      </c>
      <c r="E27">
        <f t="shared" si="3"/>
        <v>67.191192993038285</v>
      </c>
      <c r="F27">
        <f>DURATION($C$7,$C$8,$C$5,B27,$C$6,1)</f>
        <v>8.9876611328592304</v>
      </c>
      <c r="G27">
        <f>MDURATION($C$7,$C$8,$C$5,B27,$C$6,1)</f>
        <v>8.7085520399779384</v>
      </c>
      <c r="H27">
        <f>G27^2-((G27-G28)/(B27-B28))</f>
        <v>87.034156419000169</v>
      </c>
      <c r="I27">
        <f>H27*C27</f>
        <v>5851.1709264281981</v>
      </c>
      <c r="J27">
        <f t="shared" si="6"/>
        <v>67.132549730177004</v>
      </c>
      <c r="K27">
        <f t="shared" si="7"/>
        <v>67.185961116276516</v>
      </c>
    </row>
    <row r="28" spans="2:11" x14ac:dyDescent="0.35">
      <c r="B28" s="10">
        <f>B29+0.0001</f>
        <v>6.0099999999999945E-2</v>
      </c>
      <c r="C28">
        <f>PRICE($C$7,$C$8,$C$5,B28,$C$4,$C$6,1)</f>
        <v>69.635476655636921</v>
      </c>
      <c r="D28">
        <f t="shared" si="2"/>
        <v>69.634050712986479</v>
      </c>
      <c r="E28">
        <f t="shared" si="3"/>
        <v>69.634092945369161</v>
      </c>
      <c r="F28">
        <f t="shared" ref="F28:F31" si="10">DURATION($C$7,$C$8,$C$5,B28,$C$6,1)</f>
        <v>9.0163708123131361</v>
      </c>
      <c r="G28" s="8">
        <f t="shared" ref="G28:G31" si="11">MDURATION($C$7,$C$8,$C$5,B28,$C$6,1)</f>
        <v>8.7533331511219234</v>
      </c>
      <c r="H28">
        <f>G28^2-((G28-G29)/(B28-B29))</f>
        <v>87.768313265817824</v>
      </c>
      <c r="I28">
        <f>H28*C28</f>
        <v>6111.7883295264855</v>
      </c>
      <c r="J28">
        <f t="shared" si="6"/>
        <v>69.634351917192248</v>
      </c>
      <c r="K28">
        <f t="shared" si="7"/>
        <v>69.634383690771131</v>
      </c>
    </row>
    <row r="29" spans="2:11" x14ac:dyDescent="0.35">
      <c r="B29" s="11">
        <f>C13</f>
        <v>5.9999999999999942E-2</v>
      </c>
      <c r="C29" s="2">
        <f>PRICE($C$7,$C$8,$C$5,B29,$C$4,$C$6,1)</f>
        <v>69.696896971867631</v>
      </c>
      <c r="D29" s="2">
        <v>96.215937853101153</v>
      </c>
      <c r="E29" s="2">
        <v>96.215937853101153</v>
      </c>
      <c r="F29" s="2">
        <f t="shared" si="10"/>
        <v>9.0170813352727439</v>
      </c>
      <c r="G29" s="2">
        <f t="shared" si="11"/>
        <v>8.7544478983230523</v>
      </c>
      <c r="H29" s="2">
        <f>G29^2-((G28-G30)/(B28-B30))</f>
        <v>87.786667427066448</v>
      </c>
      <c r="I29" s="2">
        <f>H29*C29</f>
        <v>6118.458315167858</v>
      </c>
      <c r="J29">
        <f t="shared" si="6"/>
        <v>69.696896971867631</v>
      </c>
      <c r="K29">
        <f t="shared" si="7"/>
        <v>69.696896971867631</v>
      </c>
    </row>
    <row r="30" spans="2:11" x14ac:dyDescent="0.35">
      <c r="B30" s="10">
        <f>B29-0.0001</f>
        <v>5.9899999999999939E-2</v>
      </c>
      <c r="C30">
        <f t="shared" ref="C30:C36" si="12">PRICE($C$7,$C$8,$C$5,B30,$C$4,$C$6,1)</f>
        <v>69.758378909222699</v>
      </c>
      <c r="D30">
        <f t="shared" ref="D30:D36" si="13">(1+(-$C$14*(B30-$B$29)))*$C$11</f>
        <v>69.759743230748768</v>
      </c>
      <c r="E30">
        <f t="shared" ref="E30:E36" si="14">(1+(-$C$14*(B30-$B$29)))*$C$11+((0.5)*$C$16*(B30-$B$29)^2)*$E$29</f>
        <v>69.75978546313145</v>
      </c>
      <c r="F30">
        <f t="shared" si="10"/>
        <v>9.0177915072759891</v>
      </c>
      <c r="G30">
        <f t="shared" si="11"/>
        <v>8.7555624130064462</v>
      </c>
      <c r="H30">
        <f>G30^2-((G31-G30)/(B31-B30))</f>
        <v>87.757499068100728</v>
      </c>
      <c r="I30">
        <f>H30*C30</f>
        <v>6121.8208721183282</v>
      </c>
      <c r="J30">
        <f t="shared" si="6"/>
        <v>69.759442026543013</v>
      </c>
      <c r="K30">
        <f t="shared" si="7"/>
        <v>69.759473800121896</v>
      </c>
    </row>
    <row r="31" spans="2:11" x14ac:dyDescent="0.35">
      <c r="B31" s="6">
        <f t="shared" ref="B31:B36" si="15">B30-0.4%</f>
        <v>5.5899999999999936E-2</v>
      </c>
      <c r="C31">
        <f t="shared" si="12"/>
        <v>72.268952399286604</v>
      </c>
      <c r="D31">
        <f t="shared" si="13"/>
        <v>72.273593585994604</v>
      </c>
      <c r="E31">
        <f t="shared" si="14"/>
        <v>72.344586221292232</v>
      </c>
      <c r="F31">
        <f t="shared" si="10"/>
        <v>9.0459116006257982</v>
      </c>
      <c r="G31">
        <f t="shared" si="11"/>
        <v>8.7999529166066441</v>
      </c>
      <c r="H31">
        <f t="shared" ref="H31:H35" si="16">G31^2-((G32-G31)/(B32-B31))</f>
        <v>88.444640186515798</v>
      </c>
      <c r="I31">
        <f t="shared" ref="I31:I35" si="17">H31*C31</f>
        <v>6391.8014916113416</v>
      </c>
      <c r="J31">
        <f t="shared" si="6"/>
        <v>72.261244213558243</v>
      </c>
      <c r="K31">
        <f t="shared" si="7"/>
        <v>72.314655599657755</v>
      </c>
    </row>
    <row r="32" spans="2:11" x14ac:dyDescent="0.35">
      <c r="B32" s="6">
        <f t="shared" si="15"/>
        <v>5.1899999999999932E-2</v>
      </c>
      <c r="C32">
        <f t="shared" si="12"/>
        <v>74.882568559714869</v>
      </c>
      <c r="D32">
        <f t="shared" si="13"/>
        <v>74.787443941240426</v>
      </c>
      <c r="E32">
        <f t="shared" si="14"/>
        <v>75.064530604052905</v>
      </c>
      <c r="F32">
        <f t="shared" ref="F32:F36" si="18">DURATION($C$7,$C$8,$C$5,B32,$C$6,1)</f>
        <v>9.0734759378675136</v>
      </c>
      <c r="G32">
        <f t="shared" ref="G32:G36" si="19">MDURATION($C$7,$C$8,$C$5,B32,$C$6,1)</f>
        <v>8.8439747920147322</v>
      </c>
      <c r="H32">
        <f t="shared" si="16"/>
        <v>89.13008457052878</v>
      </c>
      <c r="I32">
        <f t="shared" si="17"/>
        <v>6674.2896685858059</v>
      </c>
      <c r="J32">
        <f t="shared" si="6"/>
        <v>74.763046400573486</v>
      </c>
      <c r="K32">
        <f t="shared" si="7"/>
        <v>74.97151285161388</v>
      </c>
    </row>
    <row r="33" spans="2:11" x14ac:dyDescent="0.35">
      <c r="B33" s="6">
        <f t="shared" si="15"/>
        <v>4.7899999999999929E-2</v>
      </c>
      <c r="C33">
        <f t="shared" si="12"/>
        <v>77.603754841217892</v>
      </c>
      <c r="D33">
        <f t="shared" si="13"/>
        <v>77.301294296486233</v>
      </c>
      <c r="E33">
        <f t="shared" si="14"/>
        <v>77.919618611413441</v>
      </c>
      <c r="F33">
        <f t="shared" si="18"/>
        <v>9.1004903459066195</v>
      </c>
      <c r="G33">
        <f t="shared" si="19"/>
        <v>8.8876315698096793</v>
      </c>
      <c r="H33">
        <f t="shared" si="16"/>
        <v>89.813852176950533</v>
      </c>
      <c r="I33">
        <f t="shared" si="17"/>
        <v>6969.8921656854527</v>
      </c>
      <c r="J33">
        <f t="shared" si="6"/>
        <v>77.264848587588716</v>
      </c>
      <c r="K33">
        <f t="shared" si="7"/>
        <v>77.730045555990259</v>
      </c>
    </row>
    <row r="34" spans="2:11" x14ac:dyDescent="0.35">
      <c r="B34" s="6">
        <f t="shared" si="15"/>
        <v>4.3899999999999925E-2</v>
      </c>
      <c r="C34">
        <f t="shared" si="12"/>
        <v>80.437248557634632</v>
      </c>
      <c r="D34">
        <f t="shared" si="13"/>
        <v>79.815144651732069</v>
      </c>
      <c r="E34">
        <f t="shared" si="14"/>
        <v>80.90985024337391</v>
      </c>
      <c r="F34">
        <f t="shared" si="18"/>
        <v>9.1269608464591929</v>
      </c>
      <c r="G34">
        <f t="shared" si="19"/>
        <v>8.9309269988347708</v>
      </c>
      <c r="H34">
        <f t="shared" si="16"/>
        <v>90.495965992099798</v>
      </c>
      <c r="I34">
        <f t="shared" si="17"/>
        <v>7279.246509969782</v>
      </c>
      <c r="J34">
        <f t="shared" si="6"/>
        <v>79.766650774603946</v>
      </c>
      <c r="K34">
        <f t="shared" si="7"/>
        <v>80.590253712786875</v>
      </c>
    </row>
    <row r="35" spans="2:11" x14ac:dyDescent="0.35">
      <c r="B35" s="6">
        <f t="shared" si="15"/>
        <v>3.9899999999999922E-2</v>
      </c>
      <c r="C35">
        <f t="shared" si="12"/>
        <v>83.388007087999739</v>
      </c>
      <c r="D35">
        <f t="shared" si="13"/>
        <v>82.328995006977891</v>
      </c>
      <c r="E35">
        <f t="shared" si="14"/>
        <v>84.03522549993427</v>
      </c>
      <c r="F35">
        <f t="shared" si="18"/>
        <v>9.1528936420087597</v>
      </c>
      <c r="G35">
        <f t="shared" si="19"/>
        <v>8.9738650345691067</v>
      </c>
      <c r="H35">
        <f t="shared" si="16"/>
        <v>91.176451927706211</v>
      </c>
      <c r="I35">
        <f t="shared" si="17"/>
        <v>7603.0226196062331</v>
      </c>
      <c r="J35">
        <f>(1+(-G$35*(B35-$B$29)))*$C$11</f>
        <v>82.26845296161919</v>
      </c>
      <c r="K35">
        <f>(1+(-G$35*(B35-$B$29)))*$C$11+((0.5)*H$35*(B35-$B$29)^2)*$C$11</f>
        <v>83.552137322003759</v>
      </c>
    </row>
    <row r="36" spans="2:11" x14ac:dyDescent="0.35">
      <c r="B36" s="6">
        <f t="shared" si="15"/>
        <v>3.5899999999999918E-2</v>
      </c>
      <c r="C36">
        <f t="shared" si="12"/>
        <v>86.461218596975925</v>
      </c>
      <c r="D36">
        <f t="shared" si="13"/>
        <v>84.842845362223713</v>
      </c>
      <c r="E36">
        <f t="shared" si="14"/>
        <v>87.295744381094508</v>
      </c>
      <c r="F36">
        <f t="shared" si="18"/>
        <v>9.178295102051516</v>
      </c>
      <c r="G36">
        <f t="shared" si="19"/>
        <v>9.0164498276452836</v>
      </c>
    </row>
    <row r="41" spans="2:11" x14ac:dyDescent="0.35">
      <c r="G41">
        <f>IF(AND(N41&gt;=$C$7,N41&lt;=$C$8),IF(MOD(DATEDIF($C$7,N41,"m")*$C$6/12,1)=0,($C$4*$C$5)/$C$6,0),0)</f>
        <v>0</v>
      </c>
      <c r="H41" t="s">
        <v>6</v>
      </c>
    </row>
    <row r="42" spans="2:11" x14ac:dyDescent="0.35">
      <c r="G42">
        <f>IF(AND(YEAR(N41)=YEAR($C$8),MONTH(N41)=MONTH($C$8)),$C$4,0)</f>
        <v>0</v>
      </c>
      <c r="H42" t="s">
        <v>7</v>
      </c>
    </row>
    <row r="43" spans="2:11" x14ac:dyDescent="0.35">
      <c r="B43" s="6"/>
      <c r="H43" t="s">
        <v>11</v>
      </c>
    </row>
    <row r="44" spans="2:11" x14ac:dyDescent="0.35">
      <c r="B44" s="6"/>
      <c r="H44" t="s">
        <v>12</v>
      </c>
    </row>
    <row r="45" spans="2:11" x14ac:dyDescent="0.35">
      <c r="B45" s="6"/>
      <c r="H45" t="s">
        <v>13</v>
      </c>
    </row>
    <row r="46" spans="2:11" x14ac:dyDescent="0.35">
      <c r="B46" s="6"/>
      <c r="H46" t="s">
        <v>14</v>
      </c>
    </row>
    <row r="47" spans="2:11" x14ac:dyDescent="0.35">
      <c r="H47" t="s">
        <v>15</v>
      </c>
    </row>
    <row r="48" spans="2:11" x14ac:dyDescent="0.35">
      <c r="H48" t="s">
        <v>8</v>
      </c>
    </row>
    <row r="49" spans="2:8" x14ac:dyDescent="0.35">
      <c r="H49" t="s">
        <v>9</v>
      </c>
    </row>
    <row r="50" spans="2:8" x14ac:dyDescent="0.35">
      <c r="C50" s="9"/>
      <c r="H50" t="s">
        <v>10</v>
      </c>
    </row>
    <row r="51" spans="2:8" x14ac:dyDescent="0.35">
      <c r="B51" t="s">
        <v>28</v>
      </c>
    </row>
  </sheetData>
  <mergeCells count="2">
    <mergeCell ref="J20:K20"/>
    <mergeCell ref="D20:E20"/>
  </mergeCells>
  <hyperlinks>
    <hyperlink ref="A1" location="main!A1" display="main" xr:uid="{6FE97BF9-78AD-4F8F-9A1C-C1D54C6A1DF2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E3E6-AFC4-4832-B9E2-F9F1B9C143C1}">
  <dimension ref="A1"/>
  <sheetViews>
    <sheetView workbookViewId="0">
      <selection activeCell="C16" sqref="C16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F479-831B-4A0B-A878-08FBC678820E}">
  <dimension ref="A1:D30"/>
  <sheetViews>
    <sheetView workbookViewId="0">
      <selection activeCell="D22" sqref="D22"/>
    </sheetView>
  </sheetViews>
  <sheetFormatPr defaultRowHeight="14.5" x14ac:dyDescent="0.35"/>
  <cols>
    <col min="1" max="1" width="4.81640625" bestFit="1" customWidth="1"/>
  </cols>
  <sheetData>
    <row r="1" spans="1:4" x14ac:dyDescent="0.35">
      <c r="A1" s="1" t="s">
        <v>4</v>
      </c>
    </row>
    <row r="4" spans="1:4" x14ac:dyDescent="0.35">
      <c r="C4" t="s">
        <v>45</v>
      </c>
      <c r="D4" t="s">
        <v>50</v>
      </c>
    </row>
    <row r="5" spans="1:4" x14ac:dyDescent="0.35">
      <c r="C5" t="s">
        <v>46</v>
      </c>
      <c r="D5" t="s">
        <v>51</v>
      </c>
    </row>
    <row r="6" spans="1:4" x14ac:dyDescent="0.35">
      <c r="C6" t="s">
        <v>47</v>
      </c>
      <c r="D6" t="s">
        <v>52</v>
      </c>
    </row>
    <row r="7" spans="1:4" x14ac:dyDescent="0.35">
      <c r="C7" t="s">
        <v>48</v>
      </c>
      <c r="D7" t="s">
        <v>53</v>
      </c>
    </row>
    <row r="8" spans="1:4" x14ac:dyDescent="0.35">
      <c r="C8" t="s">
        <v>49</v>
      </c>
      <c r="D8" t="s">
        <v>54</v>
      </c>
    </row>
    <row r="9" spans="1:4" x14ac:dyDescent="0.35">
      <c r="C9" t="s">
        <v>55</v>
      </c>
      <c r="D9" t="s">
        <v>56</v>
      </c>
    </row>
    <row r="12" spans="1:4" x14ac:dyDescent="0.35">
      <c r="C12" t="s">
        <v>57</v>
      </c>
    </row>
    <row r="14" spans="1:4" x14ac:dyDescent="0.35">
      <c r="C14" t="s">
        <v>58</v>
      </c>
    </row>
    <row r="16" spans="1:4" x14ac:dyDescent="0.35">
      <c r="C16" t="s">
        <v>59</v>
      </c>
    </row>
    <row r="18" spans="3:3" x14ac:dyDescent="0.35">
      <c r="C18" t="s">
        <v>60</v>
      </c>
    </row>
    <row r="19" spans="3:3" x14ac:dyDescent="0.35">
      <c r="C19" t="s">
        <v>61</v>
      </c>
    </row>
    <row r="21" spans="3:3" x14ac:dyDescent="0.35">
      <c r="C21" t="s">
        <v>62</v>
      </c>
    </row>
    <row r="23" spans="3:3" x14ac:dyDescent="0.35">
      <c r="C23" t="s">
        <v>63</v>
      </c>
    </row>
    <row r="25" spans="3:3" x14ac:dyDescent="0.35">
      <c r="C25" t="s">
        <v>64</v>
      </c>
    </row>
    <row r="28" spans="3:3" x14ac:dyDescent="0.35">
      <c r="C28" t="s">
        <v>65</v>
      </c>
    </row>
    <row r="29" spans="3:3" x14ac:dyDescent="0.35">
      <c r="C29" t="s">
        <v>66</v>
      </c>
    </row>
    <row r="30" spans="3:3" x14ac:dyDescent="0.35">
      <c r="C30" t="s">
        <v>67</v>
      </c>
    </row>
  </sheetData>
  <hyperlinks>
    <hyperlink ref="A1" location="main!A1" display="main" xr:uid="{834A985E-6E85-43BA-A8EF-2B2BE79C993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Option</vt:lpstr>
      <vt:lpstr>Bond</vt:lpstr>
      <vt:lpstr>B_cashflows</vt:lpstr>
      <vt:lpstr>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 Resende de Oliveira</dc:creator>
  <cp:lastModifiedBy>Eduardo Medina Resende de Oliveira</cp:lastModifiedBy>
  <dcterms:created xsi:type="dcterms:W3CDTF">2025-05-23T07:30:57Z</dcterms:created>
  <dcterms:modified xsi:type="dcterms:W3CDTF">2025-07-08T21:12:39Z</dcterms:modified>
</cp:coreProperties>
</file>