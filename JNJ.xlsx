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F4347F34-0755-4565-BF8A-BA9BDF37F0CA}" xr6:coauthVersionLast="47" xr6:coauthVersionMax="47" xr10:uidLastSave="{00000000-0000-0000-0000-000000000000}"/>
  <bookViews>
    <workbookView xWindow="610" yWindow="540" windowWidth="17990" windowHeight="19430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2" l="1"/>
  <c r="J32" i="2"/>
  <c r="J39" i="2" s="1"/>
  <c r="K38" i="2"/>
  <c r="K30" i="2"/>
  <c r="J30" i="2"/>
  <c r="K32" i="2"/>
  <c r="K39" i="2" s="1"/>
  <c r="K41" i="2" s="1"/>
  <c r="K28" i="2"/>
  <c r="J28" i="2"/>
  <c r="C32" i="2"/>
  <c r="C39" i="2" s="1"/>
  <c r="C41" i="2" s="1"/>
  <c r="D32" i="2"/>
  <c r="C38" i="2"/>
  <c r="D38" i="2"/>
  <c r="N9" i="1"/>
  <c r="N8" i="1"/>
  <c r="N6" i="1"/>
  <c r="J41" i="2" l="1"/>
  <c r="D39" i="2"/>
  <c r="D41" i="2" s="1"/>
</calcChain>
</file>

<file path=xl/sharedStrings.xml><?xml version="1.0" encoding="utf-8"?>
<sst xmlns="http://schemas.openxmlformats.org/spreadsheetml/2006/main" count="80" uniqueCount="78">
  <si>
    <t>Price</t>
  </si>
  <si>
    <t>Shares</t>
  </si>
  <si>
    <t>MC</t>
  </si>
  <si>
    <t>Cash</t>
  </si>
  <si>
    <t>Debt</t>
  </si>
  <si>
    <t>EV</t>
  </si>
  <si>
    <t>Main</t>
  </si>
  <si>
    <t>COGS</t>
  </si>
  <si>
    <t>SG&amp;A</t>
  </si>
  <si>
    <t>R&amp;D</t>
  </si>
  <si>
    <t>IPR&amp;D</t>
  </si>
  <si>
    <t>Interest income</t>
  </si>
  <si>
    <t>Interest expense, net of portion capitalized</t>
  </si>
  <si>
    <t>Other (income) expense, net</t>
  </si>
  <si>
    <t>EBT</t>
  </si>
  <si>
    <t>Tax</t>
  </si>
  <si>
    <t>Net income</t>
  </si>
  <si>
    <t>Gross profit</t>
  </si>
  <si>
    <t>2Q2025</t>
  </si>
  <si>
    <t>2Q20243</t>
  </si>
  <si>
    <t>Sales by region</t>
  </si>
  <si>
    <t>US</t>
  </si>
  <si>
    <t>EU</t>
  </si>
  <si>
    <t>ASIA</t>
  </si>
  <si>
    <t>WEST</t>
  </si>
  <si>
    <t>Sales by segment</t>
  </si>
  <si>
    <t>MedTech</t>
  </si>
  <si>
    <t>Innovative Medicine</t>
  </si>
  <si>
    <t>Name</t>
  </si>
  <si>
    <t>indication</t>
  </si>
  <si>
    <t>MOA</t>
  </si>
  <si>
    <t>Approved</t>
  </si>
  <si>
    <t>IP</t>
  </si>
  <si>
    <t xml:space="preserve">Phase </t>
  </si>
  <si>
    <t>Competition</t>
  </si>
  <si>
    <t>Remicade</t>
  </si>
  <si>
    <t>Stelara</t>
  </si>
  <si>
    <t>Tremfya</t>
  </si>
  <si>
    <t>Other Immunology</t>
  </si>
  <si>
    <t>COVID-19 Vaccine</t>
  </si>
  <si>
    <t>Prezista  + others</t>
  </si>
  <si>
    <t>Simponi / aria</t>
  </si>
  <si>
    <t>Edurant/Rilpivirine</t>
  </si>
  <si>
    <t>Other Infectious Diseases</t>
  </si>
  <si>
    <t>Concerta/Methylpenidate</t>
  </si>
  <si>
    <t>Invega sustenna + others</t>
  </si>
  <si>
    <t>Spravato</t>
  </si>
  <si>
    <t>Other Neuroscience</t>
  </si>
  <si>
    <t>Carvykti</t>
  </si>
  <si>
    <t>Darzalex</t>
  </si>
  <si>
    <t>Erleada</t>
  </si>
  <si>
    <t>Imbruvica</t>
  </si>
  <si>
    <t>Tecvayli</t>
  </si>
  <si>
    <t>Zytiga/abiraterone acetate</t>
  </si>
  <si>
    <t>Other oncology</t>
  </si>
  <si>
    <t>Opsumit</t>
  </si>
  <si>
    <t>Other pulmonary hypertension</t>
  </si>
  <si>
    <t>Uptravi</t>
  </si>
  <si>
    <t>Xarelto</t>
  </si>
  <si>
    <t>Other</t>
  </si>
  <si>
    <t>BALVERSA</t>
  </si>
  <si>
    <t>CARVYKTI</t>
  </si>
  <si>
    <t>DARZALEX</t>
  </si>
  <si>
    <t>EDURANT</t>
  </si>
  <si>
    <t>OPSUMIT</t>
  </si>
  <si>
    <t>OPSYNVI</t>
  </si>
  <si>
    <t>REKAMBYS</t>
  </si>
  <si>
    <t>RYBREVANT</t>
  </si>
  <si>
    <t>LAZCLUZE</t>
  </si>
  <si>
    <t>SIMPONI</t>
  </si>
  <si>
    <t>SPRAVATO</t>
  </si>
  <si>
    <t>TREMFYA</t>
  </si>
  <si>
    <t>UPTRAVI</t>
  </si>
  <si>
    <t>nipocalimab</t>
  </si>
  <si>
    <t>IMBRUVICA</t>
  </si>
  <si>
    <t>Revenue - Innovative Medicines</t>
  </si>
  <si>
    <t>Revenue  - MedTech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</si>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</sst>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2" fillId="0" borderId="0" xfId="1"/>
    <xf numFmtId="0" fontId="1" fillId="0" borderId="0" xfId="0" applyFont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5"/>
  <sheetViews>
    <sheetView workbookViewId="0">
      <selection activeCell="F21" sqref="F21"/>
    </sheetView>
  </sheetViews>
  <sheetFormatPr defaultRowHeight="14.5" x14ac:dyDescent="0.35"/>
  <cols>
    <col min="2" max="2" width="11" bestFit="1" customWidth="1"/>
    <col min="13" max="13" width="17.81640625" bestFit="1" customWidth="1"/>
    <col min="14" max="14" width="14.81640625" bestFit="1" customWidth="1"/>
  </cols>
  <sheetData>
    <row r="3" spans="2:14" x14ac:dyDescent="0.35"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</row>
    <row r="4" spans="2:14" x14ac:dyDescent="0.35">
      <c r="B4" s="3" t="s">
        <v>36</v>
      </c>
      <c r="M4" t="s">
        <v>0</v>
      </c>
      <c r="N4">
        <v>178</v>
      </c>
    </row>
    <row r="5" spans="2:14" x14ac:dyDescent="0.35">
      <c r="B5" s="3" t="s">
        <v>49</v>
      </c>
      <c r="M5" t="s">
        <v>1</v>
      </c>
      <c r="N5" s="1">
        <v>2400</v>
      </c>
    </row>
    <row r="6" spans="2:14" x14ac:dyDescent="0.35">
      <c r="B6" t="s">
        <v>60</v>
      </c>
      <c r="M6" t="s">
        <v>2</v>
      </c>
      <c r="N6" s="1">
        <f>N5*N4</f>
        <v>427200</v>
      </c>
    </row>
    <row r="7" spans="2:14" x14ac:dyDescent="0.35">
      <c r="B7" t="s">
        <v>61</v>
      </c>
      <c r="M7" t="s">
        <v>3</v>
      </c>
      <c r="N7" s="1">
        <v>18577</v>
      </c>
    </row>
    <row r="8" spans="2:14" x14ac:dyDescent="0.35">
      <c r="B8" t="s">
        <v>62</v>
      </c>
      <c r="M8" t="s">
        <v>4</v>
      </c>
      <c r="N8" s="1">
        <f>39235+11526</f>
        <v>50761</v>
      </c>
    </row>
    <row r="9" spans="2:14" x14ac:dyDescent="0.35">
      <c r="B9" t="s">
        <v>63</v>
      </c>
      <c r="M9" t="s">
        <v>5</v>
      </c>
      <c r="N9" s="1">
        <f>N6-N7+N8</f>
        <v>459384</v>
      </c>
    </row>
    <row r="10" spans="2:14" x14ac:dyDescent="0.35">
      <c r="B10" t="s">
        <v>74</v>
      </c>
    </row>
    <row r="11" spans="2:14" x14ac:dyDescent="0.35">
      <c r="B11" t="s">
        <v>73</v>
      </c>
    </row>
    <row r="12" spans="2:14" x14ac:dyDescent="0.35">
      <c r="B12" t="s">
        <v>64</v>
      </c>
    </row>
    <row r="13" spans="2:14" x14ac:dyDescent="0.35">
      <c r="B13" t="s">
        <v>65</v>
      </c>
      <c r="M13" t="s">
        <v>20</v>
      </c>
    </row>
    <row r="14" spans="2:14" x14ac:dyDescent="0.35">
      <c r="B14" t="s">
        <v>66</v>
      </c>
      <c r="M14" t="s">
        <v>21</v>
      </c>
      <c r="N14">
        <v>50.3</v>
      </c>
    </row>
    <row r="15" spans="2:14" x14ac:dyDescent="0.35">
      <c r="B15" t="s">
        <v>67</v>
      </c>
      <c r="M15" t="s">
        <v>22</v>
      </c>
      <c r="N15">
        <v>4.7</v>
      </c>
    </row>
    <row r="16" spans="2:14" x14ac:dyDescent="0.35">
      <c r="B16" t="s">
        <v>68</v>
      </c>
      <c r="M16" t="s">
        <v>24</v>
      </c>
      <c r="N16">
        <v>20.2</v>
      </c>
    </row>
    <row r="17" spans="2:14" x14ac:dyDescent="0.35">
      <c r="B17" t="s">
        <v>69</v>
      </c>
      <c r="M17" t="s">
        <v>23</v>
      </c>
      <c r="N17">
        <v>13.6</v>
      </c>
    </row>
    <row r="18" spans="2:14" x14ac:dyDescent="0.35">
      <c r="B18" t="s">
        <v>70</v>
      </c>
    </row>
    <row r="19" spans="2:14" x14ac:dyDescent="0.35">
      <c r="B19" t="s">
        <v>71</v>
      </c>
      <c r="M19" t="s">
        <v>25</v>
      </c>
    </row>
    <row r="20" spans="2:14" x14ac:dyDescent="0.35">
      <c r="B20" t="s">
        <v>72</v>
      </c>
      <c r="M20" t="s">
        <v>26</v>
      </c>
      <c r="N20">
        <v>31.9</v>
      </c>
    </row>
    <row r="21" spans="2:14" x14ac:dyDescent="0.35">
      <c r="M21" t="s">
        <v>27</v>
      </c>
      <c r="N21">
        <v>57</v>
      </c>
    </row>
    <row r="35" spans="5:6" x14ac:dyDescent="0.35">
      <c r="E35" t="s">
        <v>33</v>
      </c>
      <c r="F3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BE24-4420-40DD-B967-2EAFE20BFD43}">
  <dimension ref="A1:L4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41" sqref="J41"/>
    </sheetView>
  </sheetViews>
  <sheetFormatPr defaultRowHeight="14.5" x14ac:dyDescent="0.35"/>
  <cols>
    <col min="1" max="1" width="5.08984375" bestFit="1" customWidth="1"/>
    <col min="2" max="2" width="36.90625" bestFit="1" customWidth="1"/>
  </cols>
  <sheetData>
    <row r="1" spans="1:12" x14ac:dyDescent="0.35">
      <c r="A1" s="2" t="s">
        <v>6</v>
      </c>
    </row>
    <row r="2" spans="1:12" x14ac:dyDescent="0.35">
      <c r="C2" t="s">
        <v>19</v>
      </c>
      <c r="D2" t="s">
        <v>18</v>
      </c>
      <c r="J2">
        <v>2023</v>
      </c>
      <c r="K2">
        <v>2024</v>
      </c>
      <c r="L2">
        <v>2025</v>
      </c>
    </row>
    <row r="3" spans="1:12" x14ac:dyDescent="0.35">
      <c r="B3" t="s">
        <v>35</v>
      </c>
      <c r="J3" s="1">
        <v>1839</v>
      </c>
      <c r="K3" s="1">
        <v>1605</v>
      </c>
      <c r="L3" s="1"/>
    </row>
    <row r="4" spans="1:12" x14ac:dyDescent="0.35">
      <c r="B4" t="s">
        <v>41</v>
      </c>
      <c r="J4" s="1">
        <v>2197</v>
      </c>
      <c r="K4" s="1">
        <v>2190</v>
      </c>
      <c r="L4" s="1"/>
    </row>
    <row r="5" spans="1:12" x14ac:dyDescent="0.35">
      <c r="B5" s="3" t="s">
        <v>36</v>
      </c>
      <c r="J5" s="1">
        <v>10858</v>
      </c>
      <c r="K5" s="1">
        <v>10361</v>
      </c>
      <c r="L5" s="1"/>
    </row>
    <row r="6" spans="1:12" x14ac:dyDescent="0.35">
      <c r="B6" t="s">
        <v>37</v>
      </c>
      <c r="J6" s="1">
        <v>3147</v>
      </c>
      <c r="K6" s="1">
        <v>3670</v>
      </c>
      <c r="L6" s="1"/>
    </row>
    <row r="7" spans="1:12" x14ac:dyDescent="0.35">
      <c r="B7" t="s">
        <v>38</v>
      </c>
      <c r="J7" s="1">
        <v>11</v>
      </c>
      <c r="K7" s="1">
        <v>3</v>
      </c>
      <c r="L7" s="1"/>
    </row>
    <row r="8" spans="1:12" x14ac:dyDescent="0.35">
      <c r="B8" t="s">
        <v>39</v>
      </c>
      <c r="J8" s="1">
        <v>1117</v>
      </c>
      <c r="K8" s="1">
        <v>198</v>
      </c>
      <c r="L8" s="1"/>
    </row>
    <row r="9" spans="1:12" x14ac:dyDescent="0.35">
      <c r="B9" t="s">
        <v>42</v>
      </c>
      <c r="J9" s="1">
        <v>1150</v>
      </c>
      <c r="K9" s="1">
        <v>1272</v>
      </c>
      <c r="L9" s="1"/>
    </row>
    <row r="10" spans="1:12" x14ac:dyDescent="0.35">
      <c r="B10" t="s">
        <v>40</v>
      </c>
      <c r="J10" s="1">
        <v>1854</v>
      </c>
      <c r="K10" s="1">
        <v>1712</v>
      </c>
      <c r="L10" s="1"/>
    </row>
    <row r="11" spans="1:12" x14ac:dyDescent="0.35">
      <c r="B11" t="s">
        <v>43</v>
      </c>
      <c r="J11" s="1">
        <v>297</v>
      </c>
      <c r="K11" s="1">
        <v>214</v>
      </c>
      <c r="L11" s="1"/>
    </row>
    <row r="12" spans="1:12" x14ac:dyDescent="0.35">
      <c r="B12" t="s">
        <v>44</v>
      </c>
      <c r="J12" s="1">
        <v>783</v>
      </c>
      <c r="K12" s="1">
        <v>641</v>
      </c>
      <c r="L12" s="1"/>
    </row>
    <row r="13" spans="1:12" x14ac:dyDescent="0.35">
      <c r="B13" t="s">
        <v>45</v>
      </c>
      <c r="J13" s="1">
        <v>4115</v>
      </c>
      <c r="K13" s="1">
        <v>4222</v>
      </c>
      <c r="L13" s="1"/>
    </row>
    <row r="14" spans="1:12" x14ac:dyDescent="0.35">
      <c r="B14" t="s">
        <v>46</v>
      </c>
      <c r="J14" s="1">
        <v>689</v>
      </c>
      <c r="K14" s="1">
        <v>1077</v>
      </c>
      <c r="L14" s="1"/>
    </row>
    <row r="15" spans="1:12" x14ac:dyDescent="0.35">
      <c r="B15" t="s">
        <v>47</v>
      </c>
      <c r="J15" s="1">
        <v>1553</v>
      </c>
      <c r="K15" s="1">
        <v>1175</v>
      </c>
      <c r="L15" s="1"/>
    </row>
    <row r="16" spans="1:12" x14ac:dyDescent="0.35">
      <c r="B16" t="s">
        <v>48</v>
      </c>
      <c r="J16" s="1">
        <v>500</v>
      </c>
      <c r="K16" s="1">
        <v>963</v>
      </c>
      <c r="L16" s="1"/>
    </row>
    <row r="17" spans="2:12" x14ac:dyDescent="0.35">
      <c r="B17" s="3" t="s">
        <v>49</v>
      </c>
      <c r="J17" s="1">
        <v>9744</v>
      </c>
      <c r="K17" s="1">
        <v>11670</v>
      </c>
      <c r="L17" s="1"/>
    </row>
    <row r="18" spans="2:12" x14ac:dyDescent="0.35">
      <c r="B18" t="s">
        <v>50</v>
      </c>
      <c r="J18" s="1">
        <v>2387</v>
      </c>
      <c r="K18" s="1">
        <v>2999</v>
      </c>
      <c r="L18" s="1"/>
    </row>
    <row r="19" spans="2:12" x14ac:dyDescent="0.35">
      <c r="B19" t="s">
        <v>51</v>
      </c>
      <c r="J19" s="1">
        <v>3264</v>
      </c>
      <c r="K19" s="1">
        <v>3038</v>
      </c>
      <c r="L19" s="1"/>
    </row>
    <row r="20" spans="2:12" x14ac:dyDescent="0.35">
      <c r="B20" t="s">
        <v>52</v>
      </c>
      <c r="J20" s="1">
        <v>395</v>
      </c>
      <c r="K20" s="1">
        <v>549</v>
      </c>
      <c r="L20" s="1"/>
    </row>
    <row r="21" spans="2:12" x14ac:dyDescent="0.35">
      <c r="B21" t="s">
        <v>53</v>
      </c>
      <c r="J21" s="1">
        <v>887</v>
      </c>
      <c r="K21" s="1">
        <v>631</v>
      </c>
      <c r="L21" s="1"/>
    </row>
    <row r="22" spans="2:12" x14ac:dyDescent="0.35">
      <c r="B22" t="s">
        <v>54</v>
      </c>
      <c r="J22" s="1">
        <v>484</v>
      </c>
      <c r="K22" s="1">
        <v>931</v>
      </c>
      <c r="L22" s="1"/>
    </row>
    <row r="23" spans="2:12" x14ac:dyDescent="0.35">
      <c r="B23" t="s">
        <v>55</v>
      </c>
      <c r="J23" s="1">
        <v>1973</v>
      </c>
      <c r="K23" s="1">
        <v>2184</v>
      </c>
      <c r="L23" s="1"/>
    </row>
    <row r="24" spans="2:12" x14ac:dyDescent="0.35">
      <c r="B24" t="s">
        <v>57</v>
      </c>
      <c r="J24" s="1">
        <v>1582</v>
      </c>
      <c r="K24" s="1">
        <v>1817</v>
      </c>
      <c r="L24" s="1"/>
    </row>
    <row r="25" spans="2:12" x14ac:dyDescent="0.35">
      <c r="B25" t="s">
        <v>56</v>
      </c>
      <c r="J25" s="1">
        <v>260</v>
      </c>
      <c r="K25" s="1">
        <v>281</v>
      </c>
      <c r="L25" s="1"/>
    </row>
    <row r="26" spans="2:12" x14ac:dyDescent="0.35">
      <c r="B26" t="s">
        <v>58</v>
      </c>
      <c r="J26" s="1">
        <v>2365</v>
      </c>
      <c r="K26" s="1">
        <v>2373</v>
      </c>
      <c r="L26" s="1"/>
    </row>
    <row r="27" spans="2:12" x14ac:dyDescent="0.35">
      <c r="B27" t="s">
        <v>59</v>
      </c>
      <c r="J27" s="1">
        <v>1306</v>
      </c>
      <c r="K27" s="1">
        <v>1189</v>
      </c>
      <c r="L27" s="1"/>
    </row>
    <row r="28" spans="2:12" x14ac:dyDescent="0.35">
      <c r="B28" t="s">
        <v>75</v>
      </c>
      <c r="C28" s="1"/>
      <c r="D28" s="1"/>
      <c r="J28" s="1">
        <f>SUM(J3:J27)</f>
        <v>54757</v>
      </c>
      <c r="K28" s="1">
        <f>SUM(K3:K27)</f>
        <v>56965</v>
      </c>
      <c r="L28" s="1"/>
    </row>
    <row r="29" spans="2:12" x14ac:dyDescent="0.35">
      <c r="B29" t="s">
        <v>76</v>
      </c>
      <c r="C29" s="1"/>
      <c r="D29" s="1"/>
      <c r="J29" s="1">
        <v>30400</v>
      </c>
      <c r="K29" s="1">
        <v>31857</v>
      </c>
      <c r="L29" s="1"/>
    </row>
    <row r="30" spans="2:12" x14ac:dyDescent="0.35">
      <c r="B30" t="s">
        <v>77</v>
      </c>
      <c r="C30" s="1">
        <v>22447</v>
      </c>
      <c r="D30" s="1">
        <v>23743</v>
      </c>
      <c r="J30" s="1">
        <f>SUM(J28:J29)</f>
        <v>85157</v>
      </c>
      <c r="K30" s="1">
        <f>SUM(K28:K29)</f>
        <v>88822</v>
      </c>
      <c r="L30" s="1"/>
    </row>
    <row r="31" spans="2:12" x14ac:dyDescent="0.35">
      <c r="B31" t="s">
        <v>7</v>
      </c>
      <c r="C31" s="1">
        <v>6869</v>
      </c>
      <c r="D31" s="1">
        <v>7628</v>
      </c>
      <c r="J31" s="1">
        <v>26553</v>
      </c>
      <c r="K31" s="1">
        <v>27471</v>
      </c>
      <c r="L31" s="1"/>
    </row>
    <row r="32" spans="2:12" x14ac:dyDescent="0.35">
      <c r="B32" t="s">
        <v>17</v>
      </c>
      <c r="C32" s="1">
        <f>C30-C31</f>
        <v>15578</v>
      </c>
      <c r="D32" s="1">
        <f>D30-D31</f>
        <v>16115</v>
      </c>
      <c r="J32" s="1">
        <f>J30-J31</f>
        <v>58604</v>
      </c>
      <c r="K32" s="1">
        <f>K30-K31</f>
        <v>61351</v>
      </c>
      <c r="L32" s="1"/>
    </row>
    <row r="33" spans="2:12" x14ac:dyDescent="0.35">
      <c r="B33" t="s">
        <v>8</v>
      </c>
      <c r="C33" s="1">
        <v>5681</v>
      </c>
      <c r="D33" s="1">
        <v>5889</v>
      </c>
      <c r="J33" s="1">
        <v>21512</v>
      </c>
      <c r="K33" s="1">
        <v>22869</v>
      </c>
      <c r="L33" s="1"/>
    </row>
    <row r="34" spans="2:12" x14ac:dyDescent="0.35">
      <c r="B34" t="s">
        <v>9</v>
      </c>
      <c r="C34" s="1">
        <v>3440</v>
      </c>
      <c r="D34" s="1">
        <v>3516</v>
      </c>
      <c r="J34" s="1">
        <v>15085</v>
      </c>
      <c r="K34" s="1">
        <v>17232</v>
      </c>
      <c r="L34" s="1"/>
    </row>
    <row r="35" spans="2:12" x14ac:dyDescent="0.35">
      <c r="B35" t="s">
        <v>10</v>
      </c>
      <c r="C35" s="1">
        <v>194</v>
      </c>
      <c r="D35" s="1">
        <v>0</v>
      </c>
      <c r="J35" s="1">
        <v>313</v>
      </c>
      <c r="K35" s="1">
        <v>211</v>
      </c>
      <c r="L35" s="1"/>
    </row>
    <row r="36" spans="2:12" x14ac:dyDescent="0.35">
      <c r="B36" t="s">
        <v>11</v>
      </c>
      <c r="C36" s="1">
        <v>-395</v>
      </c>
      <c r="D36" s="1">
        <v>-260</v>
      </c>
      <c r="J36" s="1">
        <v>-1261</v>
      </c>
      <c r="K36" s="1">
        <v>-1332</v>
      </c>
      <c r="L36" s="1"/>
    </row>
    <row r="37" spans="2:12" x14ac:dyDescent="0.35">
      <c r="B37" t="s">
        <v>12</v>
      </c>
      <c r="C37" s="1">
        <v>270</v>
      </c>
      <c r="D37" s="1">
        <v>308</v>
      </c>
      <c r="J37" s="1">
        <v>772</v>
      </c>
      <c r="K37" s="1">
        <v>755</v>
      </c>
      <c r="L37" s="1"/>
    </row>
    <row r="38" spans="2:12" x14ac:dyDescent="0.35">
      <c r="B38" t="s">
        <v>13</v>
      </c>
      <c r="C38" s="1">
        <f>653-13</f>
        <v>640</v>
      </c>
      <c r="D38" s="1">
        <f>107+64</f>
        <v>171</v>
      </c>
      <c r="J38" s="1">
        <f>6634+489</f>
        <v>7123</v>
      </c>
      <c r="K38" s="1">
        <f>4694+234</f>
        <v>4928</v>
      </c>
      <c r="L38" s="1"/>
    </row>
    <row r="39" spans="2:12" x14ac:dyDescent="0.35">
      <c r="B39" t="s">
        <v>14</v>
      </c>
      <c r="C39" s="1">
        <f>C32-SUM(C33:C38)</f>
        <v>5748</v>
      </c>
      <c r="D39" s="1">
        <f>D32-SUM(D33:D38)</f>
        <v>6491</v>
      </c>
      <c r="J39" s="1">
        <f>J32-SUM(J33:J38)</f>
        <v>15060</v>
      </c>
      <c r="K39" s="1">
        <f>K32-SUM(K33:K38)</f>
        <v>16688</v>
      </c>
      <c r="L39" s="1"/>
    </row>
    <row r="40" spans="2:12" x14ac:dyDescent="0.35">
      <c r="B40" t="s">
        <v>15</v>
      </c>
      <c r="C40" s="1">
        <v>1062</v>
      </c>
      <c r="D40" s="1">
        <v>954</v>
      </c>
      <c r="J40" s="1">
        <v>1736</v>
      </c>
      <c r="K40" s="1">
        <v>2621</v>
      </c>
      <c r="L40" s="1"/>
    </row>
    <row r="41" spans="2:12" x14ac:dyDescent="0.35">
      <c r="B41" t="s">
        <v>16</v>
      </c>
      <c r="C41" s="1">
        <f>C39-C40</f>
        <v>4686</v>
      </c>
      <c r="D41" s="1">
        <f>D39-D40</f>
        <v>5537</v>
      </c>
      <c r="J41" s="1">
        <f>J39-J40</f>
        <v>13324</v>
      </c>
      <c r="K41" s="1">
        <f>K39-K40</f>
        <v>14067</v>
      </c>
      <c r="L41" s="1"/>
    </row>
  </sheetData>
  <hyperlinks>
    <hyperlink ref="A1" location="Main!A1" display="Main" xr:uid="{C56F06B7-7F32-4471-AC33-6EE6601F36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2025-09-13T18:37:11Z</dcterms:modified>
</cp:coreProperties>
</file>