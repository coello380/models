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BA0237B7-3B0A-4FCD-8303-FEB28DA8E297}" xr6:coauthVersionLast="47" xr6:coauthVersionMax="47" xr10:uidLastSave="{00000000-0000-0000-0000-000000000000}"/>
  <bookViews>
    <workbookView xWindow="14460" yWindow="4980" windowWidth="17480" windowHeight="13750" activeTab="2" xr2:uid="{00000000-000D-0000-FFFF-FFFF00000000}"/>
  </bookViews>
  <sheets>
    <sheet name="Main" sheetId="1" r:id="rId1"/>
    <sheet name="Model" sheetId="2" r:id="rId2"/>
    <sheet name="AXS-14" sheetId="3" r:id="rId3"/>
    <sheet name="Literatur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3" l="1"/>
  <c r="G25" i="3"/>
  <c r="G24" i="3"/>
  <c r="D26" i="3"/>
  <c r="D25" i="3"/>
  <c r="D24" i="3"/>
  <c r="D14" i="2" l="1"/>
  <c r="D16" i="2" s="1"/>
  <c r="E16" i="2"/>
  <c r="E14" i="2"/>
  <c r="E11" i="2"/>
  <c r="D5" i="2"/>
  <c r="D11" i="2" s="1"/>
  <c r="E5" i="2"/>
  <c r="N7" i="1"/>
  <c r="N6" i="1"/>
  <c r="N4" i="1"/>
</calcChain>
</file>

<file path=xl/sharedStrings.xml><?xml version="1.0" encoding="utf-8"?>
<sst xmlns="http://schemas.openxmlformats.org/spreadsheetml/2006/main" count="121" uniqueCount="100">
  <si>
    <t>Price</t>
  </si>
  <si>
    <t>Shares</t>
  </si>
  <si>
    <t>MC</t>
  </si>
  <si>
    <t>Cash</t>
  </si>
  <si>
    <t>Debt</t>
  </si>
  <si>
    <t>EV</t>
  </si>
  <si>
    <t>Main</t>
  </si>
  <si>
    <t>Name</t>
  </si>
  <si>
    <t>Indication</t>
  </si>
  <si>
    <t>Economics</t>
  </si>
  <si>
    <t>MOA</t>
  </si>
  <si>
    <t>Approved</t>
  </si>
  <si>
    <t>IP</t>
  </si>
  <si>
    <t>Phase</t>
  </si>
  <si>
    <t>Competition</t>
  </si>
  <si>
    <t>Product sales</t>
  </si>
  <si>
    <t>Royalty revenue</t>
  </si>
  <si>
    <t>Total Revenue</t>
  </si>
  <si>
    <t>COGS</t>
  </si>
  <si>
    <t>R&amp;D</t>
  </si>
  <si>
    <t>SG&amp;A</t>
  </si>
  <si>
    <t>Loss (Gain) in FV of contingent consideration</t>
  </si>
  <si>
    <t>Intangibles amortization</t>
  </si>
  <si>
    <t>Loss from operations</t>
  </si>
  <si>
    <t>Interest expense, net</t>
  </si>
  <si>
    <t>Loss on debt extinguishment</t>
  </si>
  <si>
    <t>Loss before income taxes</t>
  </si>
  <si>
    <t>Income tax benefit</t>
  </si>
  <si>
    <t>Net loss</t>
  </si>
  <si>
    <t>EPS</t>
  </si>
  <si>
    <t>Q225</t>
  </si>
  <si>
    <t>Q224</t>
  </si>
  <si>
    <t>Auvelity</t>
  </si>
  <si>
    <t>Sunosi</t>
  </si>
  <si>
    <t>Symbravo</t>
  </si>
  <si>
    <t>oral NMDA receptor</t>
  </si>
  <si>
    <t>major depressive disorder (MDD)</t>
  </si>
  <si>
    <t>dopamine inhibitor (DNRI)</t>
  </si>
  <si>
    <t>EDS or OSA</t>
  </si>
  <si>
    <t>50~80%</t>
  </si>
  <si>
    <t>COX-2 inhibitor</t>
  </si>
  <si>
    <t>acute migrane</t>
  </si>
  <si>
    <t>AXS-05</t>
  </si>
  <si>
    <t>NMDA receptor</t>
  </si>
  <si>
    <t>Alzheimer's disease agitation</t>
  </si>
  <si>
    <t>III</t>
  </si>
  <si>
    <t>Solriamfetorl</t>
  </si>
  <si>
    <t>NDNRI, TAAR1 agonist</t>
  </si>
  <si>
    <t>ADHD, MDD, EDS, BED, SWD</t>
  </si>
  <si>
    <t>sustain, ENGAGE, FOCUS, PARADIGM</t>
  </si>
  <si>
    <t>AXS-12</t>
  </si>
  <si>
    <t>norepinerphrine reuptake inhibitor</t>
  </si>
  <si>
    <t>II/III</t>
  </si>
  <si>
    <t>narcolepsy</t>
  </si>
  <si>
    <t>AXS-14</t>
  </si>
  <si>
    <t>fibromyalgia</t>
  </si>
  <si>
    <t>Tonmya</t>
  </si>
  <si>
    <t>Generic</t>
  </si>
  <si>
    <t>Indicaiton</t>
  </si>
  <si>
    <t>Clinical trials</t>
  </si>
  <si>
    <t>FM</t>
  </si>
  <si>
    <t>norepinephrine reuptake inhibitor</t>
  </si>
  <si>
    <t>SS-enantionmer of reboxetine</t>
  </si>
  <si>
    <t>notes</t>
  </si>
  <si>
    <t>Serotonin and Norepinephrine Reuptake Inhibitors (SNRIs) for Treatment of Fibromyalgia: A Comprehensive Clinical Review</t>
  </si>
  <si>
    <t>Malik et al, 2025</t>
  </si>
  <si>
    <t>Recent strategies for drug development in fibromyalgia syndrome</t>
  </si>
  <si>
    <t>Blumenthal and Malemud, 2016 DOI: 10.1080/14737175.2016.1207531</t>
  </si>
  <si>
    <t>Phase II [S,S]-reboxetine n=246 NCT00357825</t>
  </si>
  <si>
    <t>one of the trials was not addequate. Primary endpoint was at 8 weeks and it used a flexible-dose paradimg</t>
  </si>
  <si>
    <t>so they perfer longer dated studies with a fixed-dose paradigm</t>
  </si>
  <si>
    <t>Phase III [S,S]-reboxetine n=1129 NCT00612170</t>
  </si>
  <si>
    <t>esreboxetine, bought from PFE</t>
  </si>
  <si>
    <t>placebo</t>
  </si>
  <si>
    <t>4mg</t>
  </si>
  <si>
    <t>8mg</t>
  </si>
  <si>
    <t>10mg</t>
  </si>
  <si>
    <t>Week 14</t>
  </si>
  <si>
    <t>p&lt;0.001</t>
  </si>
  <si>
    <t>p=0.025</t>
  </si>
  <si>
    <t>Week 8</t>
  </si>
  <si>
    <t>Placebo</t>
  </si>
  <si>
    <t>FIQ</t>
  </si>
  <si>
    <t>PGI-C</t>
  </si>
  <si>
    <t>Mean pain</t>
  </si>
  <si>
    <t>Mean Pain</t>
  </si>
  <si>
    <t>Change from baseline</t>
  </si>
  <si>
    <t>-1.55 p=0.006</t>
  </si>
  <si>
    <t>-15.63 p&lt;0.001</t>
  </si>
  <si>
    <t>2.42 p&lt;0.001</t>
  </si>
  <si>
    <t>p=0.023</t>
  </si>
  <si>
    <t>Safety and Efficacy of Esreboxetine in Patients With Fibromyalgia</t>
  </si>
  <si>
    <t>Arnold et al, 2012 DOI 10.1002/art.34390</t>
  </si>
  <si>
    <t>Physiochemistry</t>
  </si>
  <si>
    <t>313.4MW</t>
  </si>
  <si>
    <t>rejectec by the FDA witth additional data required</t>
  </si>
  <si>
    <t>rejection from the FDA was mainly due to the design of the trial</t>
  </si>
  <si>
    <t>dosage was not fixed, and time of treatment not long enough</t>
  </si>
  <si>
    <t>Botech2k values this at 166 after latest quarter results</t>
  </si>
  <si>
    <t>ASX-14 was bought from PFE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</si>
</sst>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0" fontId="1" fillId="0" borderId="0" xfId="1"/>
    <xf numFmtId="0" fontId="0" fillId="0" borderId="1" xfId="0" applyBorder="1"/>
    <xf numFmtId="9" fontId="0" fillId="0" borderId="0" xfId="0" applyNumberFormat="1"/>
    <xf numFmtId="0" fontId="2" fillId="0" borderId="0" xfId="0" applyFont="1"/>
    <xf numFmtId="0" fontId="0" fillId="0" borderId="0" xfId="0" quotePrefix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</xdr:colOff>
      <xdr:row>26</xdr:row>
      <xdr:rowOff>179051</xdr:rowOff>
    </xdr:from>
    <xdr:to>
      <xdr:col>5</xdr:col>
      <xdr:colOff>247650</xdr:colOff>
      <xdr:row>41</xdr:row>
      <xdr:rowOff>152651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C5C05E-1686-5D76-CA17-8F1B8B05C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4966951"/>
          <a:ext cx="4838700" cy="2735850"/>
        </a:xfrm>
        <a:prstGeom prst="rect">
          <a:avLst/>
        </a:prstGeom>
      </xdr:spPr>
    </xdr:pic>
    <xdr:clientData/>
  </xdr:twoCellAnchor>
  <xdr:twoCellAnchor editAs="oneCell">
    <xdr:from>
      <xdr:col>1</xdr:col>
      <xdr:colOff>31062</xdr:colOff>
      <xdr:row>8</xdr:row>
      <xdr:rowOff>19050</xdr:rowOff>
    </xdr:from>
    <xdr:to>
      <xdr:col>2</xdr:col>
      <xdr:colOff>1060708</xdr:colOff>
      <xdr:row>16</xdr:row>
      <xdr:rowOff>133485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2D0065-BB81-9ACE-9B26-C749795E5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6662" y="1492250"/>
          <a:ext cx="3029896" cy="1587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8"/>
  <sheetViews>
    <sheetView topLeftCell="C1" zoomScale="115" zoomScaleNormal="115" workbookViewId="0">
      <selection activeCell="M16" sqref="M16"/>
    </sheetView>
  </sheetViews>
  <sheetFormatPr defaultRowHeight="14.5" x14ac:dyDescent="0.35"/>
  <cols>
    <col min="1" max="1" width="5.6328125" customWidth="1"/>
    <col min="3" max="3" width="28.90625" bestFit="1" customWidth="1"/>
    <col min="4" max="4" width="9.6328125" bestFit="1" customWidth="1"/>
    <col min="5" max="5" width="23" bestFit="1" customWidth="1"/>
    <col min="6" max="6" width="9" bestFit="1" customWidth="1"/>
    <col min="7" max="7" width="11.08984375" bestFit="1" customWidth="1"/>
  </cols>
  <sheetData>
    <row r="2" spans="2:14" x14ac:dyDescent="0.35"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M2" t="s">
        <v>0</v>
      </c>
      <c r="N2">
        <v>105</v>
      </c>
    </row>
    <row r="3" spans="2:14" x14ac:dyDescent="0.35">
      <c r="B3" t="s">
        <v>32</v>
      </c>
      <c r="C3" t="s">
        <v>36</v>
      </c>
      <c r="D3" s="4">
        <v>1</v>
      </c>
      <c r="E3" t="s">
        <v>35</v>
      </c>
      <c r="F3">
        <v>2022</v>
      </c>
      <c r="M3" t="s">
        <v>1</v>
      </c>
      <c r="N3">
        <v>49.9</v>
      </c>
    </row>
    <row r="4" spans="2:14" x14ac:dyDescent="0.35">
      <c r="B4" t="s">
        <v>33</v>
      </c>
      <c r="C4" t="s">
        <v>38</v>
      </c>
      <c r="D4" t="s">
        <v>39</v>
      </c>
      <c r="E4" t="s">
        <v>37</v>
      </c>
      <c r="F4">
        <v>2019</v>
      </c>
      <c r="M4" t="s">
        <v>2</v>
      </c>
      <c r="N4" s="1">
        <f>N2*N3</f>
        <v>5239.5</v>
      </c>
    </row>
    <row r="5" spans="2:14" x14ac:dyDescent="0.35">
      <c r="B5" t="s">
        <v>34</v>
      </c>
      <c r="C5" t="s">
        <v>41</v>
      </c>
      <c r="D5" s="4">
        <v>1</v>
      </c>
      <c r="E5" t="s">
        <v>40</v>
      </c>
      <c r="F5">
        <v>2025</v>
      </c>
      <c r="M5" t="s">
        <v>3</v>
      </c>
      <c r="N5" s="1">
        <v>303</v>
      </c>
    </row>
    <row r="6" spans="2:14" x14ac:dyDescent="0.35">
      <c r="M6" t="s">
        <v>4</v>
      </c>
      <c r="N6" s="1">
        <f>117+70</f>
        <v>187</v>
      </c>
    </row>
    <row r="7" spans="2:14" x14ac:dyDescent="0.35">
      <c r="M7" t="s">
        <v>5</v>
      </c>
      <c r="N7" s="1">
        <f>N4-N5+N6</f>
        <v>5123.5</v>
      </c>
    </row>
    <row r="11" spans="2:14" x14ac:dyDescent="0.35">
      <c r="B11" s="3"/>
      <c r="C11" s="3"/>
      <c r="D11" s="3"/>
      <c r="E11" s="3"/>
      <c r="F11" s="3" t="s">
        <v>13</v>
      </c>
      <c r="G11" s="3" t="s">
        <v>14</v>
      </c>
    </row>
    <row r="12" spans="2:14" x14ac:dyDescent="0.35">
      <c r="B12" t="s">
        <v>42</v>
      </c>
      <c r="C12" t="s">
        <v>44</v>
      </c>
      <c r="E12" t="s">
        <v>43</v>
      </c>
      <c r="F12" t="s">
        <v>45</v>
      </c>
    </row>
    <row r="13" spans="2:14" x14ac:dyDescent="0.35">
      <c r="B13" t="s">
        <v>46</v>
      </c>
      <c r="C13" t="s">
        <v>48</v>
      </c>
      <c r="E13" t="s">
        <v>47</v>
      </c>
      <c r="F13" t="s">
        <v>45</v>
      </c>
      <c r="H13" t="s">
        <v>49</v>
      </c>
      <c r="M13" s="7" t="s">
        <v>98</v>
      </c>
    </row>
    <row r="14" spans="2:14" x14ac:dyDescent="0.35">
      <c r="B14" t="s">
        <v>50</v>
      </c>
      <c r="C14" t="s">
        <v>53</v>
      </c>
      <c r="E14" t="s">
        <v>51</v>
      </c>
      <c r="F14" t="s">
        <v>52</v>
      </c>
    </row>
    <row r="15" spans="2:14" x14ac:dyDescent="0.35">
      <c r="B15" s="2" t="s">
        <v>54</v>
      </c>
      <c r="C15" t="s">
        <v>55</v>
      </c>
      <c r="E15" t="s">
        <v>51</v>
      </c>
      <c r="F15" t="s">
        <v>45</v>
      </c>
      <c r="G15" t="s">
        <v>56</v>
      </c>
      <c r="H15" t="s">
        <v>95</v>
      </c>
      <c r="M15" s="7" t="s">
        <v>96</v>
      </c>
    </row>
    <row r="16" spans="2:14" x14ac:dyDescent="0.35">
      <c r="M16" s="7" t="s">
        <v>97</v>
      </c>
    </row>
    <row r="18" spans="13:13" x14ac:dyDescent="0.35">
      <c r="M18" s="7" t="s">
        <v>99</v>
      </c>
    </row>
  </sheetData>
  <hyperlinks>
    <hyperlink ref="B15" location="'AXS-14'!A1" display="AXS-14" xr:uid="{52724BDF-C831-49EB-A859-446E1A02F19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71E2-421B-48C8-B005-D23AE5AB3F2C}">
  <dimension ref="A1:M2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8" sqref="E18"/>
    </sheetView>
  </sheetViews>
  <sheetFormatPr defaultRowHeight="14.5" x14ac:dyDescent="0.35"/>
  <cols>
    <col min="1" max="1" width="5.08984375" bestFit="1" customWidth="1"/>
    <col min="2" max="2" width="38.26953125" bestFit="1" customWidth="1"/>
  </cols>
  <sheetData>
    <row r="1" spans="1:13" x14ac:dyDescent="0.35">
      <c r="A1" s="2" t="s">
        <v>6</v>
      </c>
    </row>
    <row r="2" spans="1:13" x14ac:dyDescent="0.35">
      <c r="D2" t="s">
        <v>31</v>
      </c>
      <c r="E2" t="s">
        <v>30</v>
      </c>
    </row>
    <row r="3" spans="1:13" x14ac:dyDescent="0.35">
      <c r="B3" t="s">
        <v>15</v>
      </c>
      <c r="D3" s="1">
        <v>86.5</v>
      </c>
      <c r="E3" s="1">
        <v>148.9</v>
      </c>
      <c r="F3" s="1"/>
      <c r="G3" s="1"/>
      <c r="H3" s="1"/>
      <c r="I3" s="1"/>
      <c r="J3" s="1"/>
      <c r="K3" s="1"/>
      <c r="L3" s="1"/>
      <c r="M3" s="1"/>
    </row>
    <row r="4" spans="1:13" x14ac:dyDescent="0.35">
      <c r="B4" t="s">
        <v>16</v>
      </c>
      <c r="D4" s="1">
        <v>0.6</v>
      </c>
      <c r="E4" s="1">
        <v>1</v>
      </c>
      <c r="F4" s="1"/>
      <c r="G4" s="1"/>
      <c r="H4" s="1"/>
      <c r="I4" s="1"/>
      <c r="J4" s="1"/>
      <c r="K4" s="1"/>
      <c r="L4" s="1"/>
      <c r="M4" s="1"/>
    </row>
    <row r="5" spans="1:13" x14ac:dyDescent="0.35">
      <c r="B5" t="s">
        <v>17</v>
      </c>
      <c r="D5" s="1">
        <f>SUM(D3:D4)</f>
        <v>87.1</v>
      </c>
      <c r="E5" s="1">
        <f>SUM(E3:E4)</f>
        <v>149.9</v>
      </c>
      <c r="F5" s="1"/>
      <c r="G5" s="1"/>
      <c r="H5" s="1"/>
      <c r="I5" s="1"/>
      <c r="J5" s="1"/>
      <c r="K5" s="1"/>
      <c r="L5" s="1"/>
      <c r="M5" s="1"/>
    </row>
    <row r="6" spans="1:13" x14ac:dyDescent="0.35">
      <c r="B6" t="s">
        <v>18</v>
      </c>
      <c r="D6" s="1">
        <v>8</v>
      </c>
      <c r="E6" s="1">
        <v>13.4</v>
      </c>
      <c r="F6" s="1"/>
      <c r="G6" s="1"/>
      <c r="H6" s="1"/>
      <c r="I6" s="1"/>
      <c r="J6" s="1"/>
      <c r="K6" s="1"/>
      <c r="L6" s="1"/>
      <c r="M6" s="1"/>
    </row>
    <row r="7" spans="1:13" x14ac:dyDescent="0.35">
      <c r="B7" t="s">
        <v>19</v>
      </c>
      <c r="D7" s="1">
        <v>49.8</v>
      </c>
      <c r="E7" s="1">
        <v>49.5</v>
      </c>
      <c r="F7" s="1"/>
      <c r="G7" s="1"/>
      <c r="H7" s="1"/>
      <c r="I7" s="1"/>
      <c r="J7" s="1"/>
      <c r="K7" s="1"/>
      <c r="L7" s="1"/>
      <c r="M7" s="1"/>
    </row>
    <row r="8" spans="1:13" x14ac:dyDescent="0.35">
      <c r="B8" t="s">
        <v>20</v>
      </c>
      <c r="D8" s="1">
        <v>103.5</v>
      </c>
      <c r="E8" s="1">
        <v>130.19999999999999</v>
      </c>
      <c r="F8" s="1"/>
      <c r="G8" s="1"/>
      <c r="H8" s="1"/>
      <c r="I8" s="1"/>
      <c r="J8" s="1"/>
      <c r="K8" s="1"/>
      <c r="L8" s="1"/>
      <c r="M8" s="1"/>
    </row>
    <row r="9" spans="1:13" x14ac:dyDescent="0.35">
      <c r="B9" t="s">
        <v>21</v>
      </c>
      <c r="D9" s="1">
        <v>2.1</v>
      </c>
      <c r="E9" s="1">
        <v>-8.1</v>
      </c>
      <c r="F9" s="1"/>
      <c r="G9" s="1"/>
      <c r="H9" s="1"/>
      <c r="I9" s="1"/>
      <c r="J9" s="1"/>
      <c r="K9" s="1"/>
      <c r="L9" s="1"/>
      <c r="M9" s="1"/>
    </row>
    <row r="10" spans="1:13" x14ac:dyDescent="0.35">
      <c r="B10" t="s">
        <v>22</v>
      </c>
      <c r="D10" s="1">
        <v>1.5</v>
      </c>
      <c r="E10" s="1">
        <v>1.5</v>
      </c>
      <c r="F10" s="1"/>
      <c r="G10" s="1"/>
      <c r="H10" s="1"/>
      <c r="I10" s="1"/>
      <c r="J10" s="1"/>
      <c r="K10" s="1"/>
      <c r="L10" s="1"/>
      <c r="M10" s="1"/>
    </row>
    <row r="11" spans="1:13" x14ac:dyDescent="0.35">
      <c r="B11" t="s">
        <v>23</v>
      </c>
      <c r="D11" s="1">
        <f>D5-SUM(D6:D10)</f>
        <v>-77.800000000000011</v>
      </c>
      <c r="E11" s="1">
        <f>E5-SUM(E6:E10)</f>
        <v>-36.599999999999994</v>
      </c>
      <c r="F11" s="1"/>
      <c r="G11" s="1"/>
      <c r="H11" s="1"/>
      <c r="I11" s="1"/>
      <c r="J11" s="1"/>
      <c r="K11" s="1"/>
      <c r="L11" s="1"/>
      <c r="M11" s="1"/>
    </row>
    <row r="12" spans="1:13" x14ac:dyDescent="0.35">
      <c r="B12" t="s">
        <v>24</v>
      </c>
      <c r="D12" s="1">
        <v>-1.2</v>
      </c>
      <c r="E12" s="1">
        <v>-1</v>
      </c>
      <c r="F12" s="1"/>
      <c r="G12" s="1"/>
      <c r="H12" s="1"/>
      <c r="I12" s="1"/>
      <c r="J12" s="1"/>
      <c r="K12" s="1"/>
      <c r="L12" s="1"/>
      <c r="M12" s="1"/>
    </row>
    <row r="13" spans="1:13" x14ac:dyDescent="0.35">
      <c r="B13" t="s">
        <v>25</v>
      </c>
      <c r="D13" s="1">
        <v>0</v>
      </c>
      <c r="E13" s="1">
        <v>-10.3</v>
      </c>
      <c r="F13" s="1"/>
      <c r="G13" s="1"/>
      <c r="H13" s="1"/>
      <c r="I13" s="1"/>
      <c r="J13" s="1"/>
      <c r="K13" s="1"/>
      <c r="L13" s="1"/>
      <c r="M13" s="1"/>
    </row>
    <row r="14" spans="1:13" x14ac:dyDescent="0.35">
      <c r="B14" t="s">
        <v>26</v>
      </c>
      <c r="D14" s="1">
        <f>D11+SUM(D12:D13)</f>
        <v>-79.000000000000014</v>
      </c>
      <c r="E14" s="1">
        <f>E11+SUM(E12:E13)</f>
        <v>-47.899999999999991</v>
      </c>
      <c r="F14" s="1"/>
      <c r="G14" s="1"/>
      <c r="H14" s="1"/>
      <c r="I14" s="1"/>
      <c r="J14" s="1"/>
      <c r="K14" s="1"/>
      <c r="L14" s="1"/>
      <c r="M14" s="1"/>
    </row>
    <row r="15" spans="1:13" x14ac:dyDescent="0.35">
      <c r="B15" t="s">
        <v>27</v>
      </c>
      <c r="D15" s="1">
        <v>0</v>
      </c>
      <c r="E15" s="1">
        <v>0.9</v>
      </c>
      <c r="F15" s="1"/>
      <c r="G15" s="1"/>
      <c r="H15" s="1"/>
      <c r="I15" s="1"/>
      <c r="J15" s="1"/>
      <c r="K15" s="1"/>
      <c r="L15" s="1"/>
      <c r="M15" s="1"/>
    </row>
    <row r="16" spans="1:13" x14ac:dyDescent="0.35">
      <c r="B16" t="s">
        <v>28</v>
      </c>
      <c r="D16" s="1">
        <f>D14+D15</f>
        <v>-79.000000000000014</v>
      </c>
      <c r="E16" s="1">
        <f>E14+E15</f>
        <v>-46.999999999999993</v>
      </c>
      <c r="F16" s="1"/>
      <c r="G16" s="1"/>
      <c r="H16" s="1"/>
      <c r="I16" s="1"/>
      <c r="J16" s="1"/>
      <c r="K16" s="1"/>
      <c r="L16" s="1"/>
      <c r="M16" s="1"/>
    </row>
    <row r="17" spans="2:13" x14ac:dyDescent="0.35">
      <c r="B17" t="s">
        <v>29</v>
      </c>
      <c r="D17" s="1">
        <v>-1.67</v>
      </c>
      <c r="E17" s="1">
        <v>-0.97</v>
      </c>
      <c r="F17" s="1"/>
      <c r="G17" s="1"/>
      <c r="H17" s="1"/>
      <c r="I17" s="1"/>
      <c r="J17" s="1"/>
      <c r="K17" s="1"/>
      <c r="L17" s="1"/>
      <c r="M17" s="1"/>
    </row>
    <row r="18" spans="2:13" x14ac:dyDescent="0.35"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2:13" x14ac:dyDescent="0.35"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 x14ac:dyDescent="0.35"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2:13" x14ac:dyDescent="0.35"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2:13" x14ac:dyDescent="0.35"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2:13" x14ac:dyDescent="0.35"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2:13" x14ac:dyDescent="0.35"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2:13" x14ac:dyDescent="0.35"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2:13" x14ac:dyDescent="0.35"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2:13" x14ac:dyDescent="0.35">
      <c r="D27" s="1"/>
      <c r="E27" s="1"/>
      <c r="F27" s="1"/>
      <c r="G27" s="1"/>
      <c r="H27" s="1"/>
      <c r="I27" s="1"/>
      <c r="J27" s="1"/>
      <c r="K27" s="1"/>
      <c r="L27" s="1"/>
      <c r="M27" s="1"/>
    </row>
  </sheetData>
  <hyperlinks>
    <hyperlink ref="A1" location="Main!A1" display="Main" xr:uid="{47564D44-49DB-491E-BE1C-18B7C48CF58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17394-D8EB-4A9E-A34A-F4D689E0FCEF}">
  <dimension ref="A1:L54"/>
  <sheetViews>
    <sheetView tabSelected="1" topLeftCell="A10" workbookViewId="0">
      <selection activeCell="D25" sqref="D25"/>
    </sheetView>
  </sheetViews>
  <sheetFormatPr defaultRowHeight="14.5" x14ac:dyDescent="0.35"/>
  <cols>
    <col min="1" max="1" width="5.08984375" bestFit="1" customWidth="1"/>
    <col min="2" max="2" width="28.6328125" bestFit="1" customWidth="1"/>
    <col min="3" max="3" width="15.26953125" customWidth="1"/>
    <col min="4" max="4" width="13.1796875" bestFit="1" customWidth="1"/>
  </cols>
  <sheetData>
    <row r="1" spans="1:12" x14ac:dyDescent="0.35">
      <c r="A1" s="2" t="s">
        <v>6</v>
      </c>
    </row>
    <row r="2" spans="1:12" x14ac:dyDescent="0.35">
      <c r="B2" t="s">
        <v>7</v>
      </c>
      <c r="C2" t="s">
        <v>54</v>
      </c>
    </row>
    <row r="3" spans="1:12" x14ac:dyDescent="0.35">
      <c r="B3" t="s">
        <v>57</v>
      </c>
      <c r="C3" t="s">
        <v>72</v>
      </c>
    </row>
    <row r="4" spans="1:12" x14ac:dyDescent="0.35">
      <c r="B4" t="s">
        <v>58</v>
      </c>
      <c r="C4" t="s">
        <v>60</v>
      </c>
      <c r="L4" s="5" t="s">
        <v>63</v>
      </c>
    </row>
    <row r="5" spans="1:12" x14ac:dyDescent="0.35">
      <c r="B5" t="s">
        <v>10</v>
      </c>
      <c r="C5" t="s">
        <v>61</v>
      </c>
      <c r="L5" t="s">
        <v>62</v>
      </c>
    </row>
    <row r="6" spans="1:12" x14ac:dyDescent="0.35">
      <c r="B6" t="s">
        <v>93</v>
      </c>
      <c r="C6" t="s">
        <v>94</v>
      </c>
    </row>
    <row r="7" spans="1:12" x14ac:dyDescent="0.35">
      <c r="B7" t="s">
        <v>59</v>
      </c>
    </row>
    <row r="20" spans="2:10" x14ac:dyDescent="0.35">
      <c r="B20" s="5" t="s">
        <v>71</v>
      </c>
    </row>
    <row r="21" spans="2:10" x14ac:dyDescent="0.35">
      <c r="C21" t="s">
        <v>84</v>
      </c>
      <c r="F21" t="s">
        <v>82</v>
      </c>
      <c r="I21" t="s">
        <v>83</v>
      </c>
    </row>
    <row r="22" spans="2:10" x14ac:dyDescent="0.35">
      <c r="C22" t="s">
        <v>77</v>
      </c>
      <c r="F22" t="s">
        <v>77</v>
      </c>
      <c r="I22" t="s">
        <v>77</v>
      </c>
    </row>
    <row r="23" spans="2:10" x14ac:dyDescent="0.35">
      <c r="B23" t="s">
        <v>73</v>
      </c>
      <c r="C23">
        <v>5.41</v>
      </c>
      <c r="F23">
        <v>48.52</v>
      </c>
    </row>
    <row r="24" spans="2:10" x14ac:dyDescent="0.35">
      <c r="B24" t="s">
        <v>74</v>
      </c>
      <c r="C24">
        <v>4.68</v>
      </c>
      <c r="D24">
        <f>C24-$C$23</f>
        <v>-0.73000000000000043</v>
      </c>
      <c r="E24" t="s">
        <v>78</v>
      </c>
      <c r="F24">
        <v>41.41</v>
      </c>
      <c r="G24">
        <f>F24-$F$23</f>
        <v>-7.1100000000000065</v>
      </c>
      <c r="H24" t="s">
        <v>78</v>
      </c>
      <c r="J24" t="s">
        <v>78</v>
      </c>
    </row>
    <row r="25" spans="2:10" x14ac:dyDescent="0.35">
      <c r="B25" t="s">
        <v>75</v>
      </c>
      <c r="C25">
        <v>4.6500000000000004</v>
      </c>
      <c r="D25">
        <f t="shared" ref="D25:D26" si="0">C25-$C$23</f>
        <v>-0.75999999999999979</v>
      </c>
      <c r="E25" t="s">
        <v>78</v>
      </c>
      <c r="F25">
        <v>41.85</v>
      </c>
      <c r="G25">
        <f t="shared" ref="G25:G26" si="1">F25-$F$23</f>
        <v>-6.6700000000000017</v>
      </c>
      <c r="H25" t="s">
        <v>78</v>
      </c>
      <c r="J25" t="s">
        <v>78</v>
      </c>
    </row>
    <row r="26" spans="2:10" x14ac:dyDescent="0.35">
      <c r="B26" t="s">
        <v>76</v>
      </c>
      <c r="C26">
        <v>4.99</v>
      </c>
      <c r="D26">
        <f t="shared" si="0"/>
        <v>-0.41999999999999993</v>
      </c>
      <c r="E26" t="s">
        <v>79</v>
      </c>
      <c r="F26">
        <v>44.65</v>
      </c>
      <c r="G26">
        <f t="shared" si="1"/>
        <v>-3.8700000000000045</v>
      </c>
      <c r="H26" t="s">
        <v>90</v>
      </c>
      <c r="J26" t="s">
        <v>79</v>
      </c>
    </row>
    <row r="27" spans="2:10" x14ac:dyDescent="0.35">
      <c r="B27" s="5"/>
    </row>
    <row r="28" spans="2:10" x14ac:dyDescent="0.35">
      <c r="B28" s="5"/>
    </row>
    <row r="29" spans="2:10" x14ac:dyDescent="0.35">
      <c r="B29" s="5"/>
    </row>
    <row r="30" spans="2:10" x14ac:dyDescent="0.35">
      <c r="B30" s="5"/>
    </row>
    <row r="31" spans="2:10" x14ac:dyDescent="0.35">
      <c r="B31" s="5"/>
    </row>
    <row r="32" spans="2:10" x14ac:dyDescent="0.35">
      <c r="B32" s="5"/>
    </row>
    <row r="33" spans="2:5" x14ac:dyDescent="0.35">
      <c r="B33" s="5"/>
    </row>
    <row r="34" spans="2:5" x14ac:dyDescent="0.35">
      <c r="B34" s="5"/>
    </row>
    <row r="35" spans="2:5" x14ac:dyDescent="0.35">
      <c r="B35" s="5"/>
    </row>
    <row r="36" spans="2:5" x14ac:dyDescent="0.35">
      <c r="B36" s="5"/>
    </row>
    <row r="37" spans="2:5" x14ac:dyDescent="0.35">
      <c r="B37" s="5"/>
    </row>
    <row r="38" spans="2:5" x14ac:dyDescent="0.35">
      <c r="B38" s="5"/>
    </row>
    <row r="39" spans="2:5" x14ac:dyDescent="0.35">
      <c r="B39" s="5"/>
    </row>
    <row r="40" spans="2:5" x14ac:dyDescent="0.35">
      <c r="B40" s="5"/>
    </row>
    <row r="41" spans="2:5" x14ac:dyDescent="0.35">
      <c r="B41" s="5"/>
    </row>
    <row r="42" spans="2:5" x14ac:dyDescent="0.35">
      <c r="B42" s="5"/>
    </row>
    <row r="43" spans="2:5" x14ac:dyDescent="0.35">
      <c r="B43" s="5"/>
    </row>
    <row r="45" spans="2:5" x14ac:dyDescent="0.35">
      <c r="B45" s="5" t="s">
        <v>68</v>
      </c>
    </row>
    <row r="46" spans="2:5" x14ac:dyDescent="0.35">
      <c r="C46" t="s">
        <v>85</v>
      </c>
      <c r="D46" t="s">
        <v>82</v>
      </c>
      <c r="E46" t="s">
        <v>83</v>
      </c>
    </row>
    <row r="47" spans="2:5" x14ac:dyDescent="0.35">
      <c r="C47" t="s">
        <v>80</v>
      </c>
      <c r="D47" t="s">
        <v>80</v>
      </c>
      <c r="E47" t="s">
        <v>80</v>
      </c>
    </row>
    <row r="48" spans="2:5" x14ac:dyDescent="0.35">
      <c r="B48" t="s">
        <v>81</v>
      </c>
    </row>
    <row r="49" spans="2:5" x14ac:dyDescent="0.35">
      <c r="B49" t="s">
        <v>75</v>
      </c>
      <c r="C49" s="6"/>
    </row>
    <row r="50" spans="2:5" x14ac:dyDescent="0.35">
      <c r="B50" t="s">
        <v>86</v>
      </c>
      <c r="C50" s="6" t="s">
        <v>87</v>
      </c>
      <c r="D50" s="6" t="s">
        <v>88</v>
      </c>
      <c r="E50" t="s">
        <v>89</v>
      </c>
    </row>
    <row r="53" spans="2:5" x14ac:dyDescent="0.35">
      <c r="B53" t="s">
        <v>69</v>
      </c>
    </row>
    <row r="54" spans="2:5" x14ac:dyDescent="0.35">
      <c r="B54" t="s">
        <v>70</v>
      </c>
    </row>
  </sheetData>
  <hyperlinks>
    <hyperlink ref="A1" location="Main!A1" display="Main" xr:uid="{F3B7FCF9-AC53-48C0-949A-D9ADAF1006B4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2B0B-3803-412C-967B-3B402384C713}">
  <dimension ref="A1:C9"/>
  <sheetViews>
    <sheetView workbookViewId="0"/>
  </sheetViews>
  <sheetFormatPr defaultRowHeight="14.5" x14ac:dyDescent="0.35"/>
  <cols>
    <col min="2" max="2" width="6.1796875" customWidth="1"/>
  </cols>
  <sheetData>
    <row r="1" spans="1:3" x14ac:dyDescent="0.35">
      <c r="A1" s="2" t="s">
        <v>6</v>
      </c>
    </row>
    <row r="2" spans="1:3" x14ac:dyDescent="0.35">
      <c r="B2">
        <v>1</v>
      </c>
      <c r="C2" t="s">
        <v>64</v>
      </c>
    </row>
    <row r="3" spans="1:3" x14ac:dyDescent="0.35">
      <c r="C3" t="s">
        <v>65</v>
      </c>
    </row>
    <row r="5" spans="1:3" x14ac:dyDescent="0.35">
      <c r="B5">
        <v>2</v>
      </c>
      <c r="C5" t="s">
        <v>66</v>
      </c>
    </row>
    <row r="6" spans="1:3" x14ac:dyDescent="0.35">
      <c r="C6" t="s">
        <v>67</v>
      </c>
    </row>
    <row r="8" spans="1:3" x14ac:dyDescent="0.35">
      <c r="B8">
        <v>3</v>
      </c>
      <c r="C8" t="s">
        <v>91</v>
      </c>
    </row>
    <row r="9" spans="1:3" x14ac:dyDescent="0.35">
      <c r="C9" t="s">
        <v>92</v>
      </c>
    </row>
  </sheetData>
  <hyperlinks>
    <hyperlink ref="A1" location="Main!A1" display="Main" xr:uid="{876DCB14-0033-4485-AF15-423AC45518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AXS-14</vt:lpstr>
      <vt:lpstr>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2025-08-10T20:21:47Z</dcterms:modified>
</cp:coreProperties>
</file>