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0DB120F5-42C4-4F9A-A16D-A5232AEB7B97}" xr6:coauthVersionLast="47" xr6:coauthVersionMax="47" xr10:uidLastSave="{00000000-0000-0000-0000-000000000000}"/>
  <bookViews>
    <workbookView xWindow="19700" yWindow="2490" windowWidth="17960" windowHeight="1188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L8" i="1"/>
  <c r="L7" i="1"/>
  <c r="J8" i="1"/>
  <c r="J7" i="1"/>
  <c r="J5" i="1"/>
  <c r="J4" i="1"/>
</calcChain>
</file>

<file path=xl/sharedStrings.xml><?xml version="1.0" encoding="utf-8"?>
<sst xmlns="http://schemas.openxmlformats.org/spreadsheetml/2006/main" count="16" uniqueCount="16">
  <si>
    <t>Price</t>
  </si>
  <si>
    <t>Shares</t>
  </si>
  <si>
    <t>MC</t>
  </si>
  <si>
    <t>Cash</t>
  </si>
  <si>
    <t>Debt</t>
  </si>
  <si>
    <t>EV</t>
  </si>
  <si>
    <t>if count deposits as debt</t>
  </si>
  <si>
    <t>Main</t>
  </si>
  <si>
    <t xml:space="preserve">Interest income </t>
  </si>
  <si>
    <t>Fee and commission income</t>
  </si>
  <si>
    <t>Total Revenue</t>
  </si>
  <si>
    <t>Interest and other financial expneses</t>
  </si>
  <si>
    <t>transactional expenses</t>
  </si>
  <si>
    <t>credit loss allowance expenses</t>
  </si>
  <si>
    <t>total cost of cinancial and transactional services provided\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</si>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</sst>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L11"/>
  <sheetViews>
    <sheetView workbookViewId="0">
      <selection activeCell="J10" sqref="J10"/>
    </sheetView>
  </sheetViews>
  <sheetFormatPr defaultRowHeight="14.5" x14ac:dyDescent="0.35"/>
  <sheetData>
    <row r="3" spans="9:12" x14ac:dyDescent="0.35">
      <c r="I3" t="s">
        <v>0</v>
      </c>
      <c r="J3">
        <v>11.7</v>
      </c>
    </row>
    <row r="4" spans="9:12" x14ac:dyDescent="0.35">
      <c r="I4" t="s">
        <v>1</v>
      </c>
      <c r="J4">
        <f>3682+1083</f>
        <v>4765</v>
      </c>
      <c r="L4" t="s">
        <v>6</v>
      </c>
    </row>
    <row r="5" spans="9:12" x14ac:dyDescent="0.35">
      <c r="I5" t="s">
        <v>2</v>
      </c>
      <c r="J5" s="1">
        <f>J4*J3</f>
        <v>55750.5</v>
      </c>
    </row>
    <row r="6" spans="9:12" x14ac:dyDescent="0.35">
      <c r="I6" t="s">
        <v>3</v>
      </c>
      <c r="J6">
        <v>9185</v>
      </c>
    </row>
    <row r="7" spans="9:12" x14ac:dyDescent="0.35">
      <c r="I7" t="s">
        <v>4</v>
      </c>
      <c r="J7">
        <f>26+1730</f>
        <v>1756</v>
      </c>
      <c r="L7">
        <f>J7+28855</f>
        <v>30611</v>
      </c>
    </row>
    <row r="8" spans="9:12" x14ac:dyDescent="0.35">
      <c r="I8" t="s">
        <v>5</v>
      </c>
      <c r="J8" s="1">
        <f>J5+J6-J7</f>
        <v>63179.5</v>
      </c>
      <c r="L8" s="1">
        <f>J5-J6+L7</f>
        <v>77176.5</v>
      </c>
    </row>
    <row r="10" spans="9:12" x14ac:dyDescent="0.35">
      <c r="J10">
        <f>J5/11517</f>
        <v>4.8407137275332115</v>
      </c>
    </row>
    <row r="11" spans="9:12" x14ac:dyDescent="0.35">
      <c r="J11">
        <f>J5/1972</f>
        <v>28.271044624746452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63DC-E322-413C-921B-CA63CBB1A1C3}">
  <dimension ref="A1:B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2" sqref="D12"/>
    </sheetView>
  </sheetViews>
  <sheetFormatPr defaultRowHeight="14.5" x14ac:dyDescent="0.35"/>
  <cols>
    <col min="1" max="1" width="6.453125" customWidth="1"/>
  </cols>
  <sheetData>
    <row r="1" spans="1:2" x14ac:dyDescent="0.35">
      <c r="A1" s="2" t="s">
        <v>7</v>
      </c>
    </row>
    <row r="2" spans="1:2" x14ac:dyDescent="0.35">
      <c r="B2" t="s">
        <v>8</v>
      </c>
    </row>
    <row r="3" spans="1:2" x14ac:dyDescent="0.35">
      <c r="B3" t="s">
        <v>9</v>
      </c>
    </row>
    <row r="4" spans="1:2" x14ac:dyDescent="0.35">
      <c r="B4" t="s">
        <v>10</v>
      </c>
    </row>
    <row r="5" spans="1:2" x14ac:dyDescent="0.35">
      <c r="B5" t="s">
        <v>11</v>
      </c>
    </row>
    <row r="6" spans="1:2" x14ac:dyDescent="0.35">
      <c r="B6" t="s">
        <v>12</v>
      </c>
    </row>
    <row r="7" spans="1:2" x14ac:dyDescent="0.35">
      <c r="B7" t="s">
        <v>13</v>
      </c>
    </row>
    <row r="8" spans="1:2" x14ac:dyDescent="0.35">
      <c r="B8" t="s">
        <v>14</v>
      </c>
    </row>
    <row r="9" spans="1:2" x14ac:dyDescent="0.35">
      <c r="B9" t="s">
        <v>15</v>
      </c>
    </row>
  </sheetData>
  <hyperlinks>
    <hyperlink ref="A1" location="Main!A1" display="Main" xr:uid="{6534E699-92F4-48E6-BCC9-BCF3218BBB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2025-03-16T00:08:57Z</dcterms:modified>
</cp:coreProperties>
</file>