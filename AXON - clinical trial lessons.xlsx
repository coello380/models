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models\"/>
    </mc:Choice>
  </mc:AlternateContent>
  <xr:revisionPtr revIDLastSave="0" documentId="13_ncr:1_{890AE8BE-5B06-4145-AF42-8742881F70B2}" xr6:coauthVersionLast="47" xr6:coauthVersionMax="47" xr10:uidLastSave="{00000000-0000-0000-0000-000000000000}"/>
  <bookViews>
    <workbookView xWindow="7640" yWindow="0" windowWidth="18050" windowHeight="13770" xr2:uid="{00000000-000D-0000-FFFF-FFFF00000000}"/>
  </bookViews>
  <sheets>
    <sheet name="Main" sheetId="1" r:id="rId1"/>
    <sheet name="intepirdine" sheetId="4" r:id="rId2"/>
    <sheet name="nelatoserin" sheetId="3" r:id="rId3"/>
    <sheet name="idalopirdine" sheetId="8" r:id="rId4"/>
    <sheet name="MINDSET" sheetId="5" r:id="rId5"/>
    <sheet name="model" sheetId="2" r:id="rId6"/>
    <sheet name="Literature" sheetId="7" r:id="rId7"/>
    <sheet name="notes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2" l="1"/>
  <c r="D5" i="2"/>
  <c r="H13" i="2"/>
  <c r="H11" i="2"/>
  <c r="H10" i="2"/>
  <c r="H9" i="2"/>
  <c r="H8" i="2"/>
  <c r="H5" i="2"/>
  <c r="D9" i="2" l="1"/>
  <c r="D11" i="2" s="1"/>
  <c r="D13" i="2" s="1"/>
</calcChain>
</file>

<file path=xl/sharedStrings.xml><?xml version="1.0" encoding="utf-8"?>
<sst xmlns="http://schemas.openxmlformats.org/spreadsheetml/2006/main" count="304" uniqueCount="266">
  <si>
    <t>Brand</t>
  </si>
  <si>
    <t>Generic</t>
  </si>
  <si>
    <t>Indication</t>
  </si>
  <si>
    <t>Phase</t>
  </si>
  <si>
    <t>Economics</t>
  </si>
  <si>
    <t>MOA</t>
  </si>
  <si>
    <t>IP</t>
  </si>
  <si>
    <t>Price</t>
  </si>
  <si>
    <t>intepirdine</t>
  </si>
  <si>
    <t>Lewy Body Dementia</t>
  </si>
  <si>
    <t>III</t>
  </si>
  <si>
    <t>5-HT6</t>
  </si>
  <si>
    <t>Shares</t>
  </si>
  <si>
    <t>nelotanserin</t>
  </si>
  <si>
    <t>MC</t>
  </si>
  <si>
    <t>RVT-103</t>
  </si>
  <si>
    <t>Cash</t>
  </si>
  <si>
    <t>RVT-104</t>
  </si>
  <si>
    <t>Debt</t>
  </si>
  <si>
    <t>EV</t>
  </si>
  <si>
    <t>David Hung, MD - CEO</t>
  </si>
  <si>
    <t>Jonathan Neely = Investor Relations = jonathan.neely@axovant.com</t>
  </si>
  <si>
    <t>Study Director Ilse Lombardo, MD Axovant Sciences, Inc, Vice President, Clinical Research</t>
  </si>
  <si>
    <t>September 2017: Phase III MINDSET results for intepirdine</t>
  </si>
  <si>
    <t>Q417 Phase IIb HEADWAY results</t>
  </si>
  <si>
    <t>AAIC -</t>
  </si>
  <si>
    <t>Important to read all of the press releases, and from them you start to build up your model</t>
  </si>
  <si>
    <t>Once you get the overview, to go into more detail, you should go to ClinicalTrials.gov</t>
  </si>
  <si>
    <t>PubMed: the repository where you can access the articles on medicine and drugs and all that good stuff</t>
  </si>
  <si>
    <t>You can also use sci-hub ( for free probably )</t>
  </si>
  <si>
    <t>learn about an agonist and antagonist, need to know that in pharmacology</t>
  </si>
  <si>
    <t>save any sources and papers in the same folder with the company's name</t>
  </si>
  <si>
    <t>something you always need to ask your self is: where did this drug come from, who produced in the first place and so on</t>
  </si>
  <si>
    <t>if you take enough of a drug it you may get a response</t>
  </si>
  <si>
    <t>someitmes you just need to increase the dosage of the drug</t>
  </si>
  <si>
    <t>Trial</t>
  </si>
  <si>
    <t>MINDSET</t>
  </si>
  <si>
    <t>n</t>
  </si>
  <si>
    <t>CT First record</t>
  </si>
  <si>
    <t>Study start</t>
  </si>
  <si>
    <t>Inclusion criteria</t>
  </si>
  <si>
    <t>Ages 50-55</t>
  </si>
  <si>
    <t>Ongoing AD treated with donepezil</t>
  </si>
  <si>
    <t>MMSE of 12-24 inclusive</t>
  </si>
  <si>
    <t>Study</t>
  </si>
  <si>
    <t>197, 61 US, 17 Argentina, 6 Australia, 4 Bulgaria, 10 Canada, 4 Chile, 5 Croatia etc</t>
  </si>
  <si>
    <t>Interventions</t>
  </si>
  <si>
    <t>Placebo</t>
  </si>
  <si>
    <t>Primary Endpoint</t>
  </si>
  <si>
    <t>Change in ADAS-Cog-11 at 24 weeks</t>
  </si>
  <si>
    <t>Change in ADCS-ADL at 24 weeks</t>
  </si>
  <si>
    <t>Second Endpoint</t>
  </si>
  <si>
    <t>GIC</t>
  </si>
  <si>
    <t>NPI</t>
  </si>
  <si>
    <t>EQ-5D VAS</t>
  </si>
  <si>
    <t>NCT</t>
  </si>
  <si>
    <t>NCT02585934</t>
  </si>
  <si>
    <t>SAP (Statistical Analysis Protocol)</t>
  </si>
  <si>
    <t>Lewy body dementia</t>
  </si>
  <si>
    <t>Mechanism</t>
  </si>
  <si>
    <t>Clinical Trials</t>
  </si>
  <si>
    <t>Phase III "MINDSET" mild to moderate alzheimer's</t>
  </si>
  <si>
    <t>inclusion criteria: stable dose of sonepezil</t>
  </si>
  <si>
    <t>LPV August 2017, results late September 2017</t>
  </si>
  <si>
    <t>Phase II REM Behaviour Disorder study</t>
  </si>
  <si>
    <t>Phase II gait/balance Q417 results</t>
  </si>
  <si>
    <t>AD, DLB, PDD</t>
  </si>
  <si>
    <t>Phase IIb "HEADWAY-DLB" n=269 results Q417</t>
  </si>
  <si>
    <t>Phase II DLB visual hallucination study - results 4Q17</t>
  </si>
  <si>
    <t>Phase III "Study 1" in Alzheimer's n=576 NCT:00708552</t>
  </si>
  <si>
    <t>15mg intepirdine vs. 35mg donepezil vs. placebo</t>
  </si>
  <si>
    <t>Failed to meet PE no S.S. on any endpoint</t>
  </si>
  <si>
    <t>ADAS-COG (the higher it goes the worst it is)</t>
  </si>
  <si>
    <t>CIBIC+ (lower is better?)</t>
  </si>
  <si>
    <t>Week 12</t>
  </si>
  <si>
    <t>Week 14</t>
  </si>
  <si>
    <t>15mg intepirdine</t>
  </si>
  <si>
    <t>p=0.159</t>
  </si>
  <si>
    <t>p=0.254</t>
  </si>
  <si>
    <t>35mg intepirdine</t>
  </si>
  <si>
    <t>p=0.41</t>
  </si>
  <si>
    <t>p=0.394</t>
  </si>
  <si>
    <t>donepezil</t>
  </si>
  <si>
    <t>p=0.821</t>
  </si>
  <si>
    <t>p=0.049</t>
  </si>
  <si>
    <t>Phase III "Study 2" in Alzheimer's n=684 NCT00710684</t>
  </si>
  <si>
    <t>Failed to meet PE</t>
  </si>
  <si>
    <t>S.S. on Adas-Cog at weeks 12, 24, and 48 but not 36</t>
  </si>
  <si>
    <t>S.S. on ADCS-ADL at weeks 12-36 but not 48</t>
  </si>
  <si>
    <t>CDR-SB (higher is better)</t>
  </si>
  <si>
    <t>Week 24</t>
  </si>
  <si>
    <t>Week 48</t>
  </si>
  <si>
    <t>p=0.279</t>
  </si>
  <si>
    <t>p=0.711</t>
  </si>
  <si>
    <t>p=0.012</t>
  </si>
  <si>
    <t>p=0.462</t>
  </si>
  <si>
    <t>Preclinical</t>
  </si>
  <si>
    <t>"Neuroprotective" properties against vascular injury and neuronal metabolic dysfunction -- Q217 press release</t>
  </si>
  <si>
    <t>Pre-treatment with intepirdine resulted in decrease in LDH when cell culture was subjected to hypoxic and gluccose deprived conditions</t>
  </si>
  <si>
    <t>sec fillings are essential, you should read all of them if possible</t>
  </si>
  <si>
    <t>Basel, Switzerlang - HQ, or Lonson?, or Bermuda??</t>
  </si>
  <si>
    <t>Q217</t>
  </si>
  <si>
    <t>Main</t>
  </si>
  <si>
    <t>Revenue</t>
  </si>
  <si>
    <t>Q113</t>
  </si>
  <si>
    <t>Q216</t>
  </si>
  <si>
    <t>Q316</t>
  </si>
  <si>
    <t>Q416</t>
  </si>
  <si>
    <t>Q117</t>
  </si>
  <si>
    <t>Q317</t>
  </si>
  <si>
    <t>Q417</t>
  </si>
  <si>
    <t>Q118</t>
  </si>
  <si>
    <t>Q318</t>
  </si>
  <si>
    <t>Q418</t>
  </si>
  <si>
    <t>COGS</t>
  </si>
  <si>
    <t>Gross Profit</t>
  </si>
  <si>
    <t>R&amp;D</t>
  </si>
  <si>
    <t>SG&amp;A</t>
  </si>
  <si>
    <t>Operating Expenses</t>
  </si>
  <si>
    <t>Operating Income</t>
  </si>
  <si>
    <t>Pretax Income</t>
  </si>
  <si>
    <t xml:space="preserve">Taxes </t>
  </si>
  <si>
    <t>Net Income</t>
  </si>
  <si>
    <t>Interest Income</t>
  </si>
  <si>
    <t>muscarinic antagonist</t>
  </si>
  <si>
    <t>donepazil+MA</t>
  </si>
  <si>
    <t>rivastigmine+MA</t>
  </si>
  <si>
    <t>AD, LBD</t>
  </si>
  <si>
    <t>AD, Lewy Body Dementia</t>
  </si>
  <si>
    <t>Hercules loan</t>
  </si>
  <si>
    <t>5HT-2A ia</t>
  </si>
  <si>
    <t>GSK 12.5%</t>
  </si>
  <si>
    <t>Licensed from GSK 12.5%</t>
  </si>
  <si>
    <t>1: Ramírez-Hernández MÁ, Alonso-Murias M, Monzón-Hernández D. Highly Sensitive</t>
  </si>
  <si>
    <t>Temperature Sensor Based on Vernier Effect Using a Sturdy Double-cavity Fiber</t>
  </si>
  <si>
    <t>2: Partyka A, Górecka K, Gdula-Argasińska J, Wilczyńska-Zawal N, Jastrzębska-</t>
  </si>
  <si>
    <t>Więsek M, Wesołowska A. Selective 5-HT&lt;sub&gt;6&lt;/sub&gt; Receptor Ligands (Agonist and</t>
  </si>
  <si>
    <t>Antagonist) Show Different Effects on Antipsychotic Drug-Induced Metabolic</t>
  </si>
  <si>
    <t>3: Hu H, Mawlawi SE, Zhao T, Deuis JR, Jami S, Vetter I, Lewis RJ, Cardoso FC.</t>
  </si>
  <si>
    <t>Engineering of a Spider Peptide &lt;i&gt;via&lt;/i&gt; Conserved Structure-Function Traits</t>
  </si>
  <si>
    <t>Optimizes Sodium Channel Inhibition &lt;i&gt;In Vitro&lt;/i&gt; and Anti-Nociception &lt;i&gt;In</t>
  </si>
  <si>
    <t>4: Wesołowska A, Rychtyk J, Gdula-Argasińska J, Górecka K, Wilczyńska-Zawal N,</t>
  </si>
  <si>
    <t>Jastrzębska-Więsek M, Partyka A. Effect of 5-HT&lt;sub&gt;6&lt;/sub&gt; Receptor Ligands</t>
  </si>
  <si>
    <t>Combined with Haloperidol or Risperidone on Antidepressant-/Anxiolytic-Like</t>
  </si>
  <si>
    <t>Behavior and BDNF Regulation in Hippocampus and Prefrontal Cortex of Rats.</t>
  </si>
  <si>
    <t>5: Rychtyk J, Partyka A, Gdula-Argasińska J, Mysłowska K, Wilczyńska N,</t>
  </si>
  <si>
    <t>Jastrzębska-Więsek M, Wesołowska A. 5-HT&lt;sub&gt;6&lt;/sub&gt; receptor agonist and</t>
  </si>
  <si>
    <t>antagonist improve memory impairments and hippocampal BDNF signaling alterations</t>
  </si>
  <si>
    <t>6: Vanda D, Soural M, Canale V, Chaumont-Dubel S, Satała G, Kos T, Funk P,</t>
  </si>
  <si>
    <t>Fülöpová V, Lemrová B, Koczurkiewicz P, Pękala E, Bojarski AJ, Popik P, Marin P,</t>
  </si>
  <si>
    <t>Zajdel P. Novel non-sulfonamide 5-HT&lt;sub&gt;6&lt;/sub&gt; receptor partial inverse</t>
  </si>
  <si>
    <t>agonist in a group of imidazo[4,5-b]pyridines with cognition enhancing</t>
  </si>
  <si>
    <t>7: Zajdel P, Marciniec K, Satała G, Canale V, Kos T, Partyka A, Jastrzębska-</t>
  </si>
  <si>
    <t>Więsek M, Wesołowska A, Basińska-Ziobroń A, Wójcikowski J, Daniel WA, Bojarski</t>
  </si>
  <si>
    <t>AJ, Popik P. N1-Azinylsulfonyl-1H-indoles: 5-HT6 Receptor Antagonists with</t>
  </si>
  <si>
    <t>Procognitive and Antidepressant-Like Properties. ACS Med Chem Lett. 2016 Apr</t>
  </si>
  <si>
    <t>8: Grychowska K, Satała G, Kos T, Partyka A, Colacino E, Chaumont-Dubel S,</t>
  </si>
  <si>
    <t>Bantreil X, Wesołowska A, Pawłowski M, Martinez J, Marin P, Subra G, Bojarski</t>
  </si>
  <si>
    <t>AJ, Lamaty F, Popik P, Zajdel P. Novel 1H-Pyrrolo[3,2-c]quinoline Based 5-HT6</t>
  </si>
  <si>
    <t>Receptor Antagonists with Potential Application for the Treatment of Cognitive</t>
  </si>
  <si>
    <t>Disorders Associated with Alzheimer's Disease. ACS Chem Neurosci. 2016 Jul</t>
  </si>
  <si>
    <t>9: Ivachtchenko AV, Lavrovsky Y, Ivanenkov YA. AVN-211, Novel and Highly</t>
  </si>
  <si>
    <t>Selective 5-HT6 Receptor Small Molecule Antagonist, for the Treatment of</t>
  </si>
  <si>
    <t>10: Higgs S, Cooper AJ, Barnes NM. The 5-HT₂C receptor agonist, lorcaserin, and</t>
  </si>
  <si>
    <t>the 5-HT₆ receptor antagonist, SB-742457, promote satiety; a microstructural</t>
  </si>
  <si>
    <t>analysis of feeding behaviour. Psychopharmacology (Berl). 2016</t>
  </si>
  <si>
    <t>11: Jayarajan P, Nirogi R, Shinde A. Effect of olanzapine on scopolamine induced</t>
  </si>
  <si>
    <t>deficits in differential reinforcement of low rate 72s (DRL-72s) schedule in</t>
  </si>
  <si>
    <t>rats: involvement of the serotonergic receptors in restoring the deficits. Eur J</t>
  </si>
  <si>
    <t>12: de Bruin NM, van Drimmelen M, Kops M, van Elk J, Wetering MM, Schwienbacher</t>
  </si>
  <si>
    <t>I. Effects of risperidone, clozapine and the 5-HT6 antagonist GSK-742457 on PCP-</t>
  </si>
  <si>
    <t>induced deficits in reversal learning in the two-lever operant task in male</t>
  </si>
  <si>
    <t>13: Witten L, Bang-Andersen B, Nielsen SM, Miller S, Christoffersen CT, Stensbøl</t>
  </si>
  <si>
    <t>TB, Brennum LT, Arnt J. Characterization of [³H]Lu AE60157</t>
  </si>
  <si>
    <t>([³H]8-(4-methylpiperazin-1-yl)-3-phenylsulfonylquinoline) binding to</t>
  </si>
  <si>
    <t>5-hydroxytryptamine₆ (5-HT₆) receptors in vivo. Eur J Pharmacol. 2012 Feb</t>
  </si>
  <si>
    <t>14: de Bruin NM, Prickaerts J, van Loevezijn A, Venhorst J, de Groote L, Houba</t>
  </si>
  <si>
    <t>P, Reneerkens O, Akkerman S, Kruse CG. Two novel 5-HT6 receptor antagonists</t>
  </si>
  <si>
    <t>ameliorate scopolamine-induced memory deficits in the object recognition and</t>
  </si>
  <si>
    <t>object location tasks in Wistar rats. Neurobiol Learn Mem. 2011</t>
  </si>
  <si>
    <t>15: Codony X, Vela JM, Ramírez MJ. 5-HT(6) receptor and cognition. Curr Opin</t>
  </si>
  <si>
    <t>16: Liem-Moolenaar M, Rad M, Zamuner S, Cohen AF, Lemme F, Franson KL, van</t>
  </si>
  <si>
    <t>Gerven JM, Pich EM. Central nervous system effects of the interaction between</t>
  </si>
  <si>
    <t>risperidone (single dose) and the 5-HT6 antagonist SB742457 (repeated doses) in</t>
  </si>
  <si>
    <t>17: Maher-Edwards G, Dixon R, Hunter J, Gold M, Hopton G, Jacobs G, Hunter J,</t>
  </si>
  <si>
    <t>Williams P. SB-742457 and donepezil in Alzheimer disease: a randomized, placebo-</t>
  </si>
  <si>
    <t>18: Rossé G, Schaffhauser H. 5-HT6 receptor antagonists as potential</t>
  </si>
  <si>
    <t>19: Maher-Edwards G, Zvartau-Hind M, Hunter AJ, Gold M, Hopton G, Jacobs G, Davy</t>
  </si>
  <si>
    <t>M, Williams P. Double-blind, controlled phase II study of a 5-HT6 receptor</t>
  </si>
  <si>
    <t>20: Idris N, Neill J, Grayson B, Bang-Andersen B, Witten LM, Brennum LT, Arnt J.</t>
  </si>
  <si>
    <t>Sertindole improves sub-chronic PCP-induced reversal learning and episodic</t>
  </si>
  <si>
    <t>memory deficits in rodents: involvement of 5-HT(6) and 5-HT (2A) receptor</t>
  </si>
  <si>
    <t>21: Mørk A, Witten LM, Arnt J. Effect of sertindole on extracellular dopamine,</t>
  </si>
  <si>
    <t>acetylcholine, and glutamate in the medial prefrontal cortex of conscious rats:</t>
  </si>
  <si>
    <t>a comparison with risperidone and exploration of mechanisms involved.</t>
  </si>
  <si>
    <t>22: Upton N, Chuang TT, Hunter AJ, Virley DJ. 5-HT6 receptor antagonists as</t>
  </si>
  <si>
    <t>novel cognitive enhancing agents for Alzheimer's disease. Neurotherapeutics.</t>
  </si>
  <si>
    <t>Fabry-Perot Interferometer. Polymers (Basel). 2023 Nov 29;15(23):4567. doi: 10.3390/polym15234567. PMID: 38231976; PMCID: PMC10708411.</t>
  </si>
  <si>
    <t>Dysfunctions in Rats. Pharmaceuticals (Basel). 2023 Jan 20;16(2):154. doi: 10.3390/ph16020154. PMID: 37259305; PMCID: PMC9967858.</t>
  </si>
  <si>
    <t>Vivo&lt;/i&gt;. Front Mol Biosci. 2021 Sep 21;8:742457. doi: 10.3389/fmolb.2021.742457. PMID: 34621788; PMCID: PMC8490825.</t>
  </si>
  <si>
    <t>Neuropsychiatr Dis Treat. 2021 Jun 25;17:2105-2127. doi: 10.2147/NDT.S309818. PMID: 34211274; PMCID: PMC8240864.</t>
  </si>
  <si>
    <t>induced by MK-801. Brain Res. 2019 Nov 1;1722:146375. doi: 10.1016/j.brainres.2019.146375. Epub 2019 Aug 11. PMID: 31412259.</t>
  </si>
  <si>
    <t>properties. Eur J Med Chem. 2018 Jan 20;144:716-729. doi: 10.1016/j.ejmech.2017.12.053. Epub 2017 Dec 16. PMID: 29291439.</t>
  </si>
  <si>
    <t>7;7(6):618-22. doi: 10.1021/acsmedchemlett.6b00056. PMID: 27326337; PMCID: PMC4904269.</t>
  </si>
  <si>
    <t>20;7(7):972-83. doi: 10.1021/acschemneuro.6b00090. Epub 2016 May 5. PMID: 27100049</t>
  </si>
  <si>
    <t>Alzheimer's Disease. Mol Pharm. 2016 Mar 7;13(3):945-63. doi: 10.1021/acs.molpharmaceut.5b00830. Epub 2016 Feb 26. PMID: 26886442.</t>
  </si>
  <si>
    <t>Feb;233(3):417-24. doi: 10.1007/s00213-015-4112-x. Epub 2015 Oct 28. PMID: 26507195; PMCID: PMC4710672.</t>
  </si>
  <si>
    <t>Pharmacol. 2013 Nov 15;720(1-3):344-54. doi: 10.1016/j.ejphar.2013.10.005. Epub 2013 Oct 14. PMID: 24135200.</t>
  </si>
  <si>
    <t>Sprague Dawley rats. Behav Brain Res. 2013 May 1;244:15-28. doi: 10.1016/j.bbr.2013.01.035. Epub 2013 Feb 4. PMID: 23384714.</t>
  </si>
  <si>
    <t>15;676(1-3):6-11. doi: 10.1016/j.ejphar.2011.11.029. Epub 2011 Dec 4. PMID: 22155399</t>
  </si>
  <si>
    <t>Sep;96(2):392-402. doi: 10.1016/j.nlm.2011.06.015. Epub 2011 Jul 3. PMID: 21757018</t>
  </si>
  <si>
    <t>Pharmacol. 2011 Feb;11(1):94-100. doi: 10.1016/j.coph.2011.01.004. Epub 2011 Feb 15. PMID: 21330210.</t>
  </si>
  <si>
    <t>healthy men. Br J Clin Pharmacol. 2011 Jun;71(6):907-16. doi: 10.1111/j.1365-2125.2011.03902.x. PMID: 21223356; PMCID: PMC3099377.</t>
  </si>
  <si>
    <t>controlled study. Int J Geriatr Psychiatry. 2011 May;26(5):536-44. doi: 10.1002/gps.2562. Epub 2010 Sep 24. PMID: 20872778.</t>
  </si>
  <si>
    <t>therapeutics for cognitive impairment. Curr Top Med Chem. 2010;10(2):207-21. doi: 10.2174/156802610790411036. PMID: 20166958.</t>
  </si>
  <si>
    <t>antagonist, SB-742457, in Alzheimer's disease. Curr Alzheimer Res. 2010 Aug;7(5):374-85. doi: 10.2174/156720510791383831. PMID: 20043816.</t>
  </si>
  <si>
    <t>mechanisms. Psychopharmacology (Berl). 2010 Jan;208(1):23-36. doi: 10.1007/s00213-009-1702-5. Epub 2009 Oct 23. PMID: 19851757.</t>
  </si>
  <si>
    <t>Psychopharmacology (Berl). 2009 Sep;206(1):39-49. doi: 10.1007/s00213-009-1578-4. Epub 2009 Jun 9. PMID: 19506838.</t>
  </si>
  <si>
    <t>2008 Jul;5(3):458-69. doi: 10.1016/j.nurt.2008.05.008. PMID: 18625457; PMCID: PMC5084247</t>
  </si>
  <si>
    <t>Sertindole: typical anti-psycotics</t>
  </si>
  <si>
    <t>Phase II n=357 - published in Curr Alz Res. Maher-Edwards at al. 2010</t>
  </si>
  <si>
    <t>Placebo subtracted difference of 1.28, p=0.135 for ADAS-COG</t>
  </si>
  <si>
    <t>5mg, 15mg, 35mg vs placebo</t>
  </si>
  <si>
    <t>palcebo vs 35mg vs donepezil</t>
  </si>
  <si>
    <t>Placebo subtracted difference of -0.4, (90% CI -2.2, 1.4) and -1.2 for donepezil</t>
  </si>
  <si>
    <t>Pahse II n=198 AD - Int J Geriatr Psych - Maher-Edwards et al. 2011 NCT 00348192</t>
  </si>
  <si>
    <t>idalopiridine</t>
  </si>
  <si>
    <t>Competition</t>
  </si>
  <si>
    <t>idalopirdine</t>
  </si>
  <si>
    <t>LU AE58054</t>
  </si>
  <si>
    <t>Alzheimer's</t>
  </si>
  <si>
    <t>2.16 placebo subtracted benefit in ADAS-COG p=0.004</t>
  </si>
  <si>
    <t>inclusion criteria was donepezil patiens</t>
  </si>
  <si>
    <t>Phase IIB "LADDER" n=278 AD - NCT01019421</t>
  </si>
  <si>
    <r>
      <t xml:space="preserve">Phase III "STARTSHINE" </t>
    </r>
    <r>
      <rPr>
        <b/>
        <i/>
        <u/>
        <sz val="11"/>
        <color theme="1"/>
        <rFont val="Calibri"/>
        <family val="2"/>
        <scheme val="minor"/>
      </rPr>
      <t xml:space="preserve"> </t>
    </r>
    <r>
      <rPr>
        <b/>
        <u/>
        <sz val="11"/>
        <color theme="1"/>
        <rFont val="Calibri"/>
        <family val="2"/>
        <scheme val="minor"/>
      </rPr>
      <t>failed - press release 9/22/16</t>
    </r>
  </si>
  <si>
    <t>Phase III "STARBRIGHT" failed according to annual report</t>
  </si>
  <si>
    <t>Phase III "STARBEAM" failed according to annual report</t>
  </si>
  <si>
    <t>5-HT6 antagonist Ki 0.6nM vs 0.15nM for intepirdine</t>
  </si>
  <si>
    <t>5-HT6 antagonist, Ki 0.15nM as per Witten et al 2017</t>
  </si>
  <si>
    <t xml:space="preserve">Pubchem </t>
  </si>
  <si>
    <t>usefull site to see how compounds look like</t>
  </si>
  <si>
    <t>Physochemistry</t>
  </si>
  <si>
    <t>353MW, logP 2.5, 1 HBD, 5 HBA, 3RB</t>
  </si>
  <si>
    <t>Physiochemistry</t>
  </si>
  <si>
    <t xml:space="preserve">398MW, 2HBD, 7HB, 9RB, logP 5 </t>
  </si>
  <si>
    <t>n=650 per group</t>
  </si>
  <si>
    <t>what is ADAS COG?</t>
  </si>
  <si>
    <t>1 point ADAS-COG with SE 0.6, p=0.2388</t>
  </si>
  <si>
    <t>2 point ADAS-COG with SE 0.6, p=-0.0186</t>
  </si>
  <si>
    <t>3 point ADAS-COG with SE 0.6, p=0.0004</t>
  </si>
  <si>
    <t>ADAS-COG stands for the Alzheimer's Disease Assessment Scale-Cognitive Subscale.</t>
  </si>
  <si>
    <t>1.5 point ADAS-COG with SE 0.43, p=0.001</t>
  </si>
  <si>
    <t>1 point ADAS-COG with SE 0.43, p=0.2388</t>
  </si>
  <si>
    <t>2 point ADAS-COG with SE 0.43, p=-0.0186</t>
  </si>
  <si>
    <t>3 point ADAS-COG with SE 0.43, p=0.0004</t>
  </si>
  <si>
    <t>part 4 around 20 minutes</t>
  </si>
  <si>
    <t>5-HT2A as well?</t>
  </si>
  <si>
    <t>5-HT6 is a GPCR coupled to Gs, stimulates adenylyl cyclase</t>
  </si>
  <si>
    <t>mTORC1 and Cdk5 downstream</t>
  </si>
  <si>
    <t>5-HT6R expression is CNS only?</t>
  </si>
  <si>
    <t>Indole</t>
  </si>
  <si>
    <t>what is that?</t>
  </si>
  <si>
    <t>RVT-101, GSK-742457, SB-742457</t>
  </si>
  <si>
    <t>Molecule?</t>
  </si>
  <si>
    <t>Forced swim test: measures the amount of time floating which is proxied as being a measure of dispair.</t>
  </si>
  <si>
    <t>The more time an animal tries to spend swimming, the more willing to live it 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</si>
</sst>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17" fontId="0" fillId="0" borderId="0" xfId="0" applyNumberFormat="1"/>
    <xf numFmtId="0" fontId="2" fillId="0" borderId="0" xfId="1"/>
    <xf numFmtId="0" fontId="2" fillId="0" borderId="0" xfId="1" applyBorder="1"/>
    <xf numFmtId="0" fontId="1" fillId="0" borderId="0" xfId="0" applyFont="1"/>
    <xf numFmtId="0" fontId="3" fillId="0" borderId="0" xfId="0" applyFont="1"/>
    <xf numFmtId="0" fontId="1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2</xdr:row>
      <xdr:rowOff>12700</xdr:rowOff>
    </xdr:from>
    <xdr:to>
      <xdr:col>8</xdr:col>
      <xdr:colOff>25400</xdr:colOff>
      <xdr:row>38</xdr:row>
      <xdr:rowOff>44450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26B9E90-0D16-0136-94CA-CDA0F12BFDF9}"/>
            </a:ext>
          </a:extLst>
        </xdr:cNvPr>
        <xdr:cNvCxnSpPr/>
      </xdr:nvCxnSpPr>
      <xdr:spPr>
        <a:xfrm>
          <a:off x="5505450" y="381000"/>
          <a:ext cx="6350" cy="66611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8"/>
  <sheetViews>
    <sheetView tabSelected="1" workbookViewId="0">
      <selection activeCell="F20" sqref="F20"/>
    </sheetView>
  </sheetViews>
  <sheetFormatPr defaultRowHeight="14.5" x14ac:dyDescent="0.35"/>
  <cols>
    <col min="4" max="4" width="21.81640625" bestFit="1" customWidth="1"/>
    <col min="7" max="7" width="19.08984375" bestFit="1" customWidth="1"/>
  </cols>
  <sheetData>
    <row r="2" spans="2:12" x14ac:dyDescent="0.35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3" t="s">
        <v>6</v>
      </c>
      <c r="J2" t="s">
        <v>7</v>
      </c>
      <c r="K2">
        <v>20.350000000000001</v>
      </c>
    </row>
    <row r="3" spans="2:12" x14ac:dyDescent="0.35">
      <c r="B3" s="4"/>
      <c r="C3" s="12" t="s">
        <v>8</v>
      </c>
      <c r="D3" t="s">
        <v>128</v>
      </c>
      <c r="E3" t="s">
        <v>10</v>
      </c>
      <c r="F3" t="s">
        <v>131</v>
      </c>
      <c r="G3" t="s">
        <v>11</v>
      </c>
      <c r="H3" s="5"/>
      <c r="J3" t="s">
        <v>12</v>
      </c>
      <c r="K3">
        <v>108</v>
      </c>
      <c r="L3" t="s">
        <v>101</v>
      </c>
    </row>
    <row r="4" spans="2:12" x14ac:dyDescent="0.35">
      <c r="B4" s="4"/>
      <c r="C4" s="12" t="s">
        <v>13</v>
      </c>
      <c r="D4" t="s">
        <v>9</v>
      </c>
      <c r="E4" t="s">
        <v>10</v>
      </c>
      <c r="G4" t="s">
        <v>130</v>
      </c>
      <c r="H4" s="5"/>
      <c r="J4" t="s">
        <v>14</v>
      </c>
      <c r="K4">
        <v>2197.8000000000002</v>
      </c>
    </row>
    <row r="5" spans="2:12" x14ac:dyDescent="0.35">
      <c r="B5" s="4" t="s">
        <v>15</v>
      </c>
      <c r="C5" t="s">
        <v>125</v>
      </c>
      <c r="D5" t="s">
        <v>127</v>
      </c>
      <c r="G5" t="s">
        <v>124</v>
      </c>
      <c r="H5" s="5"/>
      <c r="J5" t="s">
        <v>16</v>
      </c>
      <c r="K5">
        <v>297</v>
      </c>
      <c r="L5" t="s">
        <v>101</v>
      </c>
    </row>
    <row r="6" spans="2:12" x14ac:dyDescent="0.35">
      <c r="B6" s="6" t="s">
        <v>17</v>
      </c>
      <c r="C6" s="7" t="s">
        <v>126</v>
      </c>
      <c r="D6" s="7" t="s">
        <v>127</v>
      </c>
      <c r="E6" s="7"/>
      <c r="F6" s="7"/>
      <c r="G6" s="7" t="s">
        <v>124</v>
      </c>
      <c r="H6" s="5"/>
    </row>
    <row r="7" spans="2:12" x14ac:dyDescent="0.35">
      <c r="B7" s="6"/>
      <c r="C7" s="7"/>
      <c r="D7" s="7"/>
      <c r="E7" s="7"/>
      <c r="F7" s="7"/>
      <c r="G7" s="7"/>
      <c r="H7" s="8"/>
      <c r="J7" t="s">
        <v>18</v>
      </c>
      <c r="K7">
        <v>51</v>
      </c>
      <c r="L7" t="s">
        <v>101</v>
      </c>
    </row>
    <row r="8" spans="2:12" x14ac:dyDescent="0.35">
      <c r="J8" t="s">
        <v>19</v>
      </c>
      <c r="K8">
        <v>1951.8</v>
      </c>
    </row>
    <row r="9" spans="2:12" x14ac:dyDescent="0.35">
      <c r="B9" t="s">
        <v>100</v>
      </c>
    </row>
    <row r="10" spans="2:12" x14ac:dyDescent="0.35">
      <c r="B10" t="s">
        <v>20</v>
      </c>
    </row>
    <row r="11" spans="2:12" x14ac:dyDescent="0.35">
      <c r="B11" t="s">
        <v>21</v>
      </c>
    </row>
    <row r="12" spans="2:12" x14ac:dyDescent="0.35">
      <c r="B12" t="s">
        <v>22</v>
      </c>
    </row>
    <row r="13" spans="2:12" x14ac:dyDescent="0.35">
      <c r="B13" t="s">
        <v>23</v>
      </c>
    </row>
    <row r="14" spans="2:12" x14ac:dyDescent="0.35">
      <c r="B14" t="s">
        <v>24</v>
      </c>
    </row>
    <row r="16" spans="2:12" x14ac:dyDescent="0.35">
      <c r="B16" t="s">
        <v>25</v>
      </c>
    </row>
    <row r="18" spans="2:2" x14ac:dyDescent="0.35">
      <c r="B18" t="s">
        <v>129</v>
      </c>
    </row>
  </sheetData>
  <hyperlinks>
    <hyperlink ref="C3" location="intepirdine!A1" display="intepirdine" xr:uid="{D092BFC0-C1AA-47CE-AD57-527555DF5778}"/>
    <hyperlink ref="C4" location="nelatoserin!A1" display="nelotanserin" xr:uid="{9EB28B56-BE2B-427E-83F9-315ABF21FF2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DD846-7F2D-406C-84DF-51F06D4F9C82}">
  <dimension ref="A1:L76"/>
  <sheetViews>
    <sheetView topLeftCell="A37" workbookViewId="0">
      <selection activeCell="I55" sqref="I55"/>
    </sheetView>
  </sheetViews>
  <sheetFormatPr defaultRowHeight="14.5" x14ac:dyDescent="0.35"/>
  <cols>
    <col min="2" max="2" width="11.54296875" bestFit="1" customWidth="1"/>
  </cols>
  <sheetData>
    <row r="1" spans="1:3" x14ac:dyDescent="0.35">
      <c r="A1" s="11" t="s">
        <v>102</v>
      </c>
      <c r="B1" t="s">
        <v>0</v>
      </c>
      <c r="C1" t="s">
        <v>262</v>
      </c>
    </row>
    <row r="2" spans="1:3" x14ac:dyDescent="0.35">
      <c r="B2" t="s">
        <v>1</v>
      </c>
      <c r="C2" t="s">
        <v>8</v>
      </c>
    </row>
    <row r="3" spans="1:3" x14ac:dyDescent="0.35">
      <c r="B3" t="s">
        <v>2</v>
      </c>
      <c r="C3" t="s">
        <v>58</v>
      </c>
    </row>
    <row r="4" spans="1:3" x14ac:dyDescent="0.35">
      <c r="B4" t="s">
        <v>59</v>
      </c>
      <c r="C4" t="s">
        <v>238</v>
      </c>
    </row>
    <row r="5" spans="1:3" x14ac:dyDescent="0.35">
      <c r="C5" t="s">
        <v>256</v>
      </c>
    </row>
    <row r="6" spans="1:3" x14ac:dyDescent="0.35">
      <c r="C6" t="s">
        <v>257</v>
      </c>
    </row>
    <row r="7" spans="1:3" x14ac:dyDescent="0.35">
      <c r="C7" t="s">
        <v>258</v>
      </c>
    </row>
    <row r="8" spans="1:3" x14ac:dyDescent="0.35">
      <c r="C8" t="s">
        <v>259</v>
      </c>
    </row>
    <row r="11" spans="1:3" x14ac:dyDescent="0.35">
      <c r="B11" t="s">
        <v>227</v>
      </c>
      <c r="C11" t="s">
        <v>228</v>
      </c>
    </row>
    <row r="12" spans="1:3" x14ac:dyDescent="0.35">
      <c r="B12" t="s">
        <v>241</v>
      </c>
      <c r="C12" t="s">
        <v>242</v>
      </c>
    </row>
    <row r="13" spans="1:3" x14ac:dyDescent="0.35">
      <c r="B13" t="s">
        <v>4</v>
      </c>
      <c r="C13" t="s">
        <v>132</v>
      </c>
    </row>
    <row r="14" spans="1:3" x14ac:dyDescent="0.35">
      <c r="B14" s="13" t="s">
        <v>263</v>
      </c>
    </row>
    <row r="15" spans="1:3" x14ac:dyDescent="0.35">
      <c r="B15" t="s">
        <v>60</v>
      </c>
    </row>
    <row r="17" spans="3:3" x14ac:dyDescent="0.35">
      <c r="C17" s="14" t="s">
        <v>61</v>
      </c>
    </row>
    <row r="18" spans="3:3" x14ac:dyDescent="0.35">
      <c r="C18" t="s">
        <v>62</v>
      </c>
    </row>
    <row r="19" spans="3:3" x14ac:dyDescent="0.35">
      <c r="C19" t="s">
        <v>63</v>
      </c>
    </row>
    <row r="25" spans="3:3" x14ac:dyDescent="0.35">
      <c r="C25" s="14" t="s">
        <v>64</v>
      </c>
    </row>
    <row r="27" spans="3:3" x14ac:dyDescent="0.35">
      <c r="C27" s="14" t="s">
        <v>65</v>
      </c>
    </row>
    <row r="28" spans="3:3" x14ac:dyDescent="0.35">
      <c r="C28" t="s">
        <v>66</v>
      </c>
    </row>
    <row r="32" spans="3:3" x14ac:dyDescent="0.35">
      <c r="C32" s="14" t="s">
        <v>67</v>
      </c>
    </row>
    <row r="34" spans="3:11" x14ac:dyDescent="0.35">
      <c r="C34" s="14" t="s">
        <v>68</v>
      </c>
    </row>
    <row r="36" spans="3:11" x14ac:dyDescent="0.35">
      <c r="C36" s="14" t="s">
        <v>69</v>
      </c>
    </row>
    <row r="37" spans="3:11" x14ac:dyDescent="0.35">
      <c r="C37" s="14" t="s">
        <v>70</v>
      </c>
    </row>
    <row r="38" spans="3:11" x14ac:dyDescent="0.35">
      <c r="C38" t="s">
        <v>71</v>
      </c>
    </row>
    <row r="40" spans="3:11" x14ac:dyDescent="0.35">
      <c r="D40" t="s">
        <v>72</v>
      </c>
      <c r="H40" t="s">
        <v>73</v>
      </c>
    </row>
    <row r="41" spans="3:11" x14ac:dyDescent="0.35">
      <c r="D41" t="s">
        <v>74</v>
      </c>
      <c r="E41" t="s">
        <v>75</v>
      </c>
      <c r="H41" t="s">
        <v>74</v>
      </c>
      <c r="I41" t="s">
        <v>75</v>
      </c>
    </row>
    <row r="42" spans="3:11" x14ac:dyDescent="0.35">
      <c r="C42" t="s">
        <v>47</v>
      </c>
      <c r="D42">
        <v>-0.1</v>
      </c>
      <c r="E42">
        <v>-0.3</v>
      </c>
      <c r="H42">
        <v>3.9</v>
      </c>
      <c r="I42">
        <v>4</v>
      </c>
    </row>
    <row r="43" spans="3:11" x14ac:dyDescent="0.35">
      <c r="C43" t="s">
        <v>76</v>
      </c>
      <c r="D43">
        <v>0</v>
      </c>
      <c r="E43">
        <v>0.8</v>
      </c>
      <c r="F43">
        <v>1.1000000000000001</v>
      </c>
      <c r="G43" t="s">
        <v>77</v>
      </c>
      <c r="H43">
        <v>4</v>
      </c>
      <c r="I43">
        <v>4.2</v>
      </c>
      <c r="J43">
        <v>0.2</v>
      </c>
      <c r="K43" t="s">
        <v>78</v>
      </c>
    </row>
    <row r="44" spans="3:11" x14ac:dyDescent="0.35">
      <c r="C44" t="s">
        <v>79</v>
      </c>
      <c r="D44">
        <v>-0.2</v>
      </c>
      <c r="E44">
        <v>0.4</v>
      </c>
      <c r="F44" s="15">
        <v>0.7</v>
      </c>
      <c r="G44" t="s">
        <v>80</v>
      </c>
      <c r="H44">
        <v>3.9</v>
      </c>
      <c r="I44">
        <v>3.9</v>
      </c>
      <c r="J44">
        <v>-0.1</v>
      </c>
      <c r="K44" t="s">
        <v>81</v>
      </c>
    </row>
    <row r="45" spans="3:11" x14ac:dyDescent="0.35">
      <c r="C45" t="s">
        <v>82</v>
      </c>
      <c r="D45">
        <v>-0.6</v>
      </c>
      <c r="E45">
        <v>-0.5</v>
      </c>
      <c r="F45">
        <v>-0.2</v>
      </c>
      <c r="G45" t="s">
        <v>83</v>
      </c>
      <c r="H45">
        <v>3.7</v>
      </c>
      <c r="I45">
        <v>3.7</v>
      </c>
      <c r="J45">
        <v>-0.3</v>
      </c>
      <c r="K45" t="s">
        <v>84</v>
      </c>
    </row>
    <row r="50" spans="3:12" x14ac:dyDescent="0.35">
      <c r="C50" s="14" t="s">
        <v>85</v>
      </c>
    </row>
    <row r="51" spans="3:12" x14ac:dyDescent="0.35">
      <c r="C51" t="s">
        <v>86</v>
      </c>
    </row>
    <row r="52" spans="3:12" x14ac:dyDescent="0.35">
      <c r="C52" t="s">
        <v>87</v>
      </c>
    </row>
    <row r="53" spans="3:12" x14ac:dyDescent="0.35">
      <c r="C53" t="s">
        <v>88</v>
      </c>
    </row>
    <row r="55" spans="3:12" x14ac:dyDescent="0.35">
      <c r="D55" t="s">
        <v>72</v>
      </c>
      <c r="I55" t="s">
        <v>89</v>
      </c>
    </row>
    <row r="56" spans="3:12" x14ac:dyDescent="0.35">
      <c r="D56" t="s">
        <v>90</v>
      </c>
      <c r="E56" t="s">
        <v>91</v>
      </c>
      <c r="I56" t="s">
        <v>90</v>
      </c>
      <c r="J56" t="s">
        <v>91</v>
      </c>
    </row>
    <row r="57" spans="3:12" x14ac:dyDescent="0.35">
      <c r="C57" t="s">
        <v>47</v>
      </c>
      <c r="D57">
        <v>1.2</v>
      </c>
      <c r="E57">
        <v>3.4</v>
      </c>
      <c r="H57" t="s">
        <v>47</v>
      </c>
      <c r="I57">
        <v>0.9</v>
      </c>
      <c r="J57">
        <v>1.6</v>
      </c>
    </row>
    <row r="58" spans="3:12" x14ac:dyDescent="0.35">
      <c r="C58" t="s">
        <v>76</v>
      </c>
      <c r="D58">
        <v>0.5</v>
      </c>
      <c r="E58">
        <v>3.4</v>
      </c>
      <c r="F58">
        <v>0</v>
      </c>
      <c r="G58" t="s">
        <v>92</v>
      </c>
      <c r="H58" t="s">
        <v>76</v>
      </c>
      <c r="I58">
        <v>0.8</v>
      </c>
      <c r="J58">
        <v>1.9</v>
      </c>
      <c r="K58">
        <v>0.3</v>
      </c>
      <c r="L58" t="s">
        <v>93</v>
      </c>
    </row>
    <row r="59" spans="3:12" x14ac:dyDescent="0.35">
      <c r="C59" t="s">
        <v>79</v>
      </c>
      <c r="D59">
        <v>-0.4</v>
      </c>
      <c r="E59">
        <v>1.8</v>
      </c>
      <c r="F59" s="15">
        <v>-1.6</v>
      </c>
      <c r="G59" t="s">
        <v>94</v>
      </c>
      <c r="H59" t="s">
        <v>79</v>
      </c>
      <c r="I59">
        <v>0.7</v>
      </c>
      <c r="J59">
        <v>0.5</v>
      </c>
      <c r="K59">
        <v>-1.1000000000000001</v>
      </c>
      <c r="L59" t="s">
        <v>95</v>
      </c>
    </row>
    <row r="62" spans="3:12" x14ac:dyDescent="0.35">
      <c r="C62" s="14" t="s">
        <v>220</v>
      </c>
    </row>
    <row r="63" spans="3:12" x14ac:dyDescent="0.35">
      <c r="C63" t="s">
        <v>222</v>
      </c>
    </row>
    <row r="64" spans="3:12" x14ac:dyDescent="0.35">
      <c r="C64" s="15" t="s">
        <v>221</v>
      </c>
    </row>
    <row r="69" spans="3:3" x14ac:dyDescent="0.35">
      <c r="C69" s="14" t="s">
        <v>225</v>
      </c>
    </row>
    <row r="70" spans="3:3" x14ac:dyDescent="0.35">
      <c r="C70" t="s">
        <v>223</v>
      </c>
    </row>
    <row r="71" spans="3:3" x14ac:dyDescent="0.35">
      <c r="C71" s="15" t="s">
        <v>224</v>
      </c>
    </row>
    <row r="72" spans="3:3" x14ac:dyDescent="0.35">
      <c r="C72" s="13"/>
    </row>
    <row r="74" spans="3:3" x14ac:dyDescent="0.35">
      <c r="C74" t="s">
        <v>96</v>
      </c>
    </row>
    <row r="75" spans="3:3" x14ac:dyDescent="0.35">
      <c r="C75" t="s">
        <v>97</v>
      </c>
    </row>
    <row r="76" spans="3:3" x14ac:dyDescent="0.35">
      <c r="C76" t="s">
        <v>98</v>
      </c>
    </row>
  </sheetData>
  <hyperlinks>
    <hyperlink ref="A1" location="Main!A1" display="Main" xr:uid="{C24A3F41-0E6E-4CCB-B662-034FF3326E4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41139-E6CA-40D7-9629-9E5DCD2A0B82}">
  <dimension ref="B2:C3"/>
  <sheetViews>
    <sheetView workbookViewId="0">
      <selection activeCell="B7" sqref="B7"/>
    </sheetView>
  </sheetViews>
  <sheetFormatPr defaultRowHeight="14.5" x14ac:dyDescent="0.35"/>
  <sheetData>
    <row r="2" spans="2:3" x14ac:dyDescent="0.35">
      <c r="B2" t="s">
        <v>0</v>
      </c>
    </row>
    <row r="3" spans="2:3" x14ac:dyDescent="0.35">
      <c r="B3" t="s">
        <v>1</v>
      </c>
      <c r="C3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D96BD-C463-4EE3-942E-257B1ADA4AB0}">
  <dimension ref="A1:C17"/>
  <sheetViews>
    <sheetView workbookViewId="0">
      <selection activeCell="D16" sqref="D16"/>
    </sheetView>
  </sheetViews>
  <sheetFormatPr defaultRowHeight="14.5" x14ac:dyDescent="0.35"/>
  <cols>
    <col min="1" max="1" width="5.08984375" bestFit="1" customWidth="1"/>
    <col min="2" max="2" width="10.453125" bestFit="1" customWidth="1"/>
  </cols>
  <sheetData>
    <row r="1" spans="1:3" x14ac:dyDescent="0.35">
      <c r="A1" s="11" t="s">
        <v>102</v>
      </c>
    </row>
    <row r="2" spans="1:3" x14ac:dyDescent="0.35">
      <c r="B2" t="s">
        <v>0</v>
      </c>
      <c r="C2" t="s">
        <v>229</v>
      </c>
    </row>
    <row r="3" spans="1:3" x14ac:dyDescent="0.35">
      <c r="B3" t="s">
        <v>1</v>
      </c>
      <c r="C3" t="s">
        <v>226</v>
      </c>
    </row>
    <row r="4" spans="1:3" x14ac:dyDescent="0.35">
      <c r="B4" t="s">
        <v>2</v>
      </c>
      <c r="C4" t="s">
        <v>230</v>
      </c>
    </row>
    <row r="5" spans="1:3" x14ac:dyDescent="0.35">
      <c r="B5" t="s">
        <v>5</v>
      </c>
      <c r="C5" t="s">
        <v>237</v>
      </c>
    </row>
    <row r="6" spans="1:3" x14ac:dyDescent="0.35">
      <c r="B6" t="s">
        <v>243</v>
      </c>
      <c r="C6" t="s">
        <v>244</v>
      </c>
    </row>
    <row r="7" spans="1:3" x14ac:dyDescent="0.35">
      <c r="B7" t="s">
        <v>60</v>
      </c>
    </row>
    <row r="8" spans="1:3" x14ac:dyDescent="0.35">
      <c r="C8" s="13" t="s">
        <v>233</v>
      </c>
    </row>
    <row r="9" spans="1:3" x14ac:dyDescent="0.35">
      <c r="C9" t="s">
        <v>231</v>
      </c>
    </row>
    <row r="10" spans="1:3" x14ac:dyDescent="0.35">
      <c r="C10" t="s">
        <v>232</v>
      </c>
    </row>
    <row r="12" spans="1:3" x14ac:dyDescent="0.35">
      <c r="C12" s="14" t="s">
        <v>234</v>
      </c>
    </row>
    <row r="14" spans="1:3" x14ac:dyDescent="0.35">
      <c r="C14" s="14" t="s">
        <v>235</v>
      </c>
    </row>
    <row r="16" spans="1:3" x14ac:dyDescent="0.35">
      <c r="C16" s="14" t="s">
        <v>236</v>
      </c>
    </row>
    <row r="17" spans="3:3" x14ac:dyDescent="0.35">
      <c r="C17" s="14"/>
    </row>
  </sheetData>
  <hyperlinks>
    <hyperlink ref="A1" location="Main!A1" display="Main" xr:uid="{2FB9ED0C-AE60-4329-A6D9-73F775398FE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20165-7E18-4AC2-A092-CAF59774D500}">
  <dimension ref="B3:C32"/>
  <sheetViews>
    <sheetView workbookViewId="0">
      <selection activeCell="B22" sqref="B22"/>
    </sheetView>
  </sheetViews>
  <sheetFormatPr defaultRowHeight="14.5" x14ac:dyDescent="0.35"/>
  <cols>
    <col min="2" max="2" width="28.36328125" bestFit="1" customWidth="1"/>
    <col min="3" max="3" width="28.36328125" customWidth="1"/>
  </cols>
  <sheetData>
    <row r="3" spans="2:3" x14ac:dyDescent="0.35">
      <c r="B3" t="s">
        <v>35</v>
      </c>
      <c r="C3" t="s">
        <v>36</v>
      </c>
    </row>
    <row r="4" spans="2:3" x14ac:dyDescent="0.35">
      <c r="B4" t="s">
        <v>37</v>
      </c>
      <c r="C4">
        <v>1315</v>
      </c>
    </row>
    <row r="5" spans="2:3" x14ac:dyDescent="0.35">
      <c r="B5" t="s">
        <v>38</v>
      </c>
      <c r="C5" s="9">
        <v>42299</v>
      </c>
    </row>
    <row r="6" spans="2:3" x14ac:dyDescent="0.35">
      <c r="B6" t="s">
        <v>39</v>
      </c>
      <c r="C6" s="10">
        <v>42278</v>
      </c>
    </row>
    <row r="7" spans="2:3" x14ac:dyDescent="0.35">
      <c r="B7" t="s">
        <v>3</v>
      </c>
      <c r="C7" t="s">
        <v>10</v>
      </c>
    </row>
    <row r="8" spans="2:3" x14ac:dyDescent="0.35">
      <c r="B8" t="s">
        <v>40</v>
      </c>
      <c r="C8" t="s">
        <v>41</v>
      </c>
    </row>
    <row r="9" spans="2:3" x14ac:dyDescent="0.35">
      <c r="C9" t="s">
        <v>42</v>
      </c>
    </row>
    <row r="10" spans="2:3" x14ac:dyDescent="0.35">
      <c r="C10" t="s">
        <v>43</v>
      </c>
    </row>
    <row r="11" spans="2:3" x14ac:dyDescent="0.35">
      <c r="B11" t="s">
        <v>44</v>
      </c>
      <c r="C11" t="s">
        <v>45</v>
      </c>
    </row>
    <row r="12" spans="2:3" x14ac:dyDescent="0.35">
      <c r="B12" t="s">
        <v>46</v>
      </c>
      <c r="C12" t="s">
        <v>8</v>
      </c>
    </row>
    <row r="13" spans="2:3" x14ac:dyDescent="0.35">
      <c r="C13" t="s">
        <v>47</v>
      </c>
    </row>
    <row r="14" spans="2:3" x14ac:dyDescent="0.35">
      <c r="B14" t="s">
        <v>48</v>
      </c>
      <c r="C14" t="s">
        <v>49</v>
      </c>
    </row>
    <row r="15" spans="2:3" x14ac:dyDescent="0.35">
      <c r="C15" t="s">
        <v>50</v>
      </c>
    </row>
    <row r="16" spans="2:3" x14ac:dyDescent="0.35">
      <c r="B16" t="s">
        <v>51</v>
      </c>
      <c r="C16" t="s">
        <v>52</v>
      </c>
    </row>
    <row r="17" spans="2:3" x14ac:dyDescent="0.35">
      <c r="C17" t="s">
        <v>53</v>
      </c>
    </row>
    <row r="18" spans="2:3" x14ac:dyDescent="0.35">
      <c r="C18" t="s">
        <v>54</v>
      </c>
    </row>
    <row r="19" spans="2:3" x14ac:dyDescent="0.35">
      <c r="B19" t="s">
        <v>55</v>
      </c>
      <c r="C19" t="s">
        <v>56</v>
      </c>
    </row>
    <row r="21" spans="2:3" x14ac:dyDescent="0.35">
      <c r="B21" t="s">
        <v>57</v>
      </c>
    </row>
    <row r="24" spans="2:3" x14ac:dyDescent="0.35">
      <c r="C24" t="s">
        <v>245</v>
      </c>
    </row>
    <row r="25" spans="2:3" x14ac:dyDescent="0.35">
      <c r="C25" t="s">
        <v>247</v>
      </c>
    </row>
    <row r="26" spans="2:3" x14ac:dyDescent="0.35">
      <c r="C26" t="s">
        <v>248</v>
      </c>
    </row>
    <row r="27" spans="2:3" x14ac:dyDescent="0.35">
      <c r="C27" t="s">
        <v>249</v>
      </c>
    </row>
    <row r="29" spans="2:3" x14ac:dyDescent="0.35">
      <c r="C29" t="s">
        <v>252</v>
      </c>
    </row>
    <row r="30" spans="2:3" x14ac:dyDescent="0.35">
      <c r="C30" s="13" t="s">
        <v>251</v>
      </c>
    </row>
    <row r="31" spans="2:3" x14ac:dyDescent="0.35">
      <c r="C31" t="s">
        <v>253</v>
      </c>
    </row>
    <row r="32" spans="2:3" x14ac:dyDescent="0.35">
      <c r="C32" t="s">
        <v>254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03BA3-A721-4B5B-8CA2-A7BFC92CF687}">
  <dimension ref="A1:N1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13" sqref="D13"/>
    </sheetView>
  </sheetViews>
  <sheetFormatPr defaultRowHeight="14.5" x14ac:dyDescent="0.35"/>
  <cols>
    <col min="2" max="2" width="17.453125" bestFit="1" customWidth="1"/>
  </cols>
  <sheetData>
    <row r="1" spans="1:14" x14ac:dyDescent="0.35">
      <c r="A1" s="11" t="s">
        <v>102</v>
      </c>
    </row>
    <row r="2" spans="1:14" x14ac:dyDescent="0.35">
      <c r="C2" t="s">
        <v>104</v>
      </c>
      <c r="D2" t="s">
        <v>105</v>
      </c>
      <c r="E2" t="s">
        <v>106</v>
      </c>
      <c r="F2" t="s">
        <v>107</v>
      </c>
      <c r="G2" t="s">
        <v>108</v>
      </c>
      <c r="H2" t="s">
        <v>101</v>
      </c>
      <c r="I2" t="s">
        <v>109</v>
      </c>
      <c r="J2" t="s">
        <v>110</v>
      </c>
      <c r="K2" t="s">
        <v>111</v>
      </c>
      <c r="L2" t="s">
        <v>111</v>
      </c>
      <c r="M2" t="s">
        <v>112</v>
      </c>
      <c r="N2" t="s">
        <v>113</v>
      </c>
    </row>
    <row r="3" spans="1:14" x14ac:dyDescent="0.35">
      <c r="B3" t="s">
        <v>103</v>
      </c>
      <c r="D3">
        <v>0</v>
      </c>
      <c r="H3">
        <v>0</v>
      </c>
    </row>
    <row r="4" spans="1:14" x14ac:dyDescent="0.35">
      <c r="B4" t="s">
        <v>114</v>
      </c>
      <c r="D4">
        <v>0</v>
      </c>
      <c r="H4">
        <v>0</v>
      </c>
    </row>
    <row r="5" spans="1:14" x14ac:dyDescent="0.35">
      <c r="B5" t="s">
        <v>115</v>
      </c>
      <c r="D5">
        <f>D3-D4</f>
        <v>0</v>
      </c>
      <c r="H5">
        <f>H3-H4</f>
        <v>0</v>
      </c>
    </row>
    <row r="6" spans="1:14" x14ac:dyDescent="0.35">
      <c r="B6" t="s">
        <v>116</v>
      </c>
      <c r="D6">
        <v>25</v>
      </c>
      <c r="H6">
        <v>44</v>
      </c>
    </row>
    <row r="7" spans="1:14" x14ac:dyDescent="0.35">
      <c r="B7" t="s">
        <v>117</v>
      </c>
      <c r="D7">
        <v>13</v>
      </c>
      <c r="H7">
        <v>22</v>
      </c>
    </row>
    <row r="8" spans="1:14" x14ac:dyDescent="0.35">
      <c r="B8" t="s">
        <v>118</v>
      </c>
      <c r="D8">
        <f>D7+D6</f>
        <v>38</v>
      </c>
      <c r="H8">
        <f>H7+H6</f>
        <v>66</v>
      </c>
    </row>
    <row r="9" spans="1:14" x14ac:dyDescent="0.35">
      <c r="B9" t="s">
        <v>119</v>
      </c>
      <c r="D9">
        <f>D5-D8</f>
        <v>-38</v>
      </c>
      <c r="H9">
        <f>H5-H8</f>
        <v>-66</v>
      </c>
    </row>
    <row r="10" spans="1:14" x14ac:dyDescent="0.35">
      <c r="B10" t="s">
        <v>123</v>
      </c>
      <c r="D10">
        <v>0</v>
      </c>
      <c r="H10">
        <f>+-2</f>
        <v>-2</v>
      </c>
    </row>
    <row r="11" spans="1:14" x14ac:dyDescent="0.35">
      <c r="B11" t="s">
        <v>120</v>
      </c>
      <c r="D11">
        <f>D9+D10</f>
        <v>-38</v>
      </c>
      <c r="H11">
        <f>H9+H10</f>
        <v>-68</v>
      </c>
    </row>
    <row r="12" spans="1:14" x14ac:dyDescent="0.35">
      <c r="B12" t="s">
        <v>121</v>
      </c>
      <c r="D12">
        <v>0</v>
      </c>
      <c r="H12">
        <v>3</v>
      </c>
    </row>
    <row r="13" spans="1:14" x14ac:dyDescent="0.35">
      <c r="B13" t="s">
        <v>122</v>
      </c>
      <c r="D13">
        <f>D11-D12</f>
        <v>-38</v>
      </c>
      <c r="H13">
        <f>H11-H12</f>
        <v>-71</v>
      </c>
    </row>
  </sheetData>
  <hyperlinks>
    <hyperlink ref="A1" location="Main!A1" display="Main" xr:uid="{158DCCF4-1478-4415-AA0F-80BD0A845677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364C-08F7-4D66-92CD-828A5BAAB616}">
  <dimension ref="A1:B130"/>
  <sheetViews>
    <sheetView workbookViewId="0">
      <selection activeCell="D12" sqref="D12"/>
    </sheetView>
  </sheetViews>
  <sheetFormatPr defaultRowHeight="14.5" x14ac:dyDescent="0.35"/>
  <cols>
    <col min="1" max="1" width="5.08984375" bestFit="1" customWidth="1"/>
  </cols>
  <sheetData>
    <row r="1" spans="1:2" x14ac:dyDescent="0.35">
      <c r="A1" s="11" t="s">
        <v>102</v>
      </c>
    </row>
    <row r="3" spans="1:2" x14ac:dyDescent="0.35">
      <c r="B3" t="s">
        <v>133</v>
      </c>
    </row>
    <row r="4" spans="1:2" x14ac:dyDescent="0.35">
      <c r="B4" t="s">
        <v>134</v>
      </c>
    </row>
    <row r="5" spans="1:2" x14ac:dyDescent="0.35">
      <c r="B5" t="s">
        <v>197</v>
      </c>
    </row>
    <row r="8" spans="1:2" x14ac:dyDescent="0.35">
      <c r="B8" t="s">
        <v>135</v>
      </c>
    </row>
    <row r="9" spans="1:2" x14ac:dyDescent="0.35">
      <c r="B9" t="s">
        <v>136</v>
      </c>
    </row>
    <row r="10" spans="1:2" x14ac:dyDescent="0.35">
      <c r="B10" t="s">
        <v>137</v>
      </c>
    </row>
    <row r="11" spans="1:2" x14ac:dyDescent="0.35">
      <c r="B11" t="s">
        <v>198</v>
      </c>
    </row>
    <row r="14" spans="1:2" x14ac:dyDescent="0.35">
      <c r="B14" t="s">
        <v>138</v>
      </c>
    </row>
    <row r="15" spans="1:2" x14ac:dyDescent="0.35">
      <c r="B15" t="s">
        <v>139</v>
      </c>
    </row>
    <row r="16" spans="1:2" x14ac:dyDescent="0.35">
      <c r="B16" t="s">
        <v>140</v>
      </c>
    </row>
    <row r="17" spans="2:2" x14ac:dyDescent="0.35">
      <c r="B17" t="s">
        <v>199</v>
      </c>
    </row>
    <row r="20" spans="2:2" x14ac:dyDescent="0.35">
      <c r="B20" t="s">
        <v>141</v>
      </c>
    </row>
    <row r="21" spans="2:2" x14ac:dyDescent="0.35">
      <c r="B21" t="s">
        <v>142</v>
      </c>
    </row>
    <row r="22" spans="2:2" x14ac:dyDescent="0.35">
      <c r="B22" t="s">
        <v>143</v>
      </c>
    </row>
    <row r="23" spans="2:2" x14ac:dyDescent="0.35">
      <c r="B23" t="s">
        <v>144</v>
      </c>
    </row>
    <row r="24" spans="2:2" x14ac:dyDescent="0.35">
      <c r="B24" t="s">
        <v>200</v>
      </c>
    </row>
    <row r="27" spans="2:2" x14ac:dyDescent="0.35">
      <c r="B27" t="s">
        <v>145</v>
      </c>
    </row>
    <row r="28" spans="2:2" x14ac:dyDescent="0.35">
      <c r="B28" t="s">
        <v>146</v>
      </c>
    </row>
    <row r="29" spans="2:2" x14ac:dyDescent="0.35">
      <c r="B29" t="s">
        <v>147</v>
      </c>
    </row>
    <row r="30" spans="2:2" x14ac:dyDescent="0.35">
      <c r="B30" t="s">
        <v>201</v>
      </c>
    </row>
    <row r="33" spans="2:2" x14ac:dyDescent="0.35">
      <c r="B33" t="s">
        <v>148</v>
      </c>
    </row>
    <row r="34" spans="2:2" x14ac:dyDescent="0.35">
      <c r="B34" t="s">
        <v>149</v>
      </c>
    </row>
    <row r="35" spans="2:2" x14ac:dyDescent="0.35">
      <c r="B35" t="s">
        <v>150</v>
      </c>
    </row>
    <row r="36" spans="2:2" x14ac:dyDescent="0.35">
      <c r="B36" t="s">
        <v>151</v>
      </c>
    </row>
    <row r="37" spans="2:2" x14ac:dyDescent="0.35">
      <c r="B37" t="s">
        <v>202</v>
      </c>
    </row>
    <row r="40" spans="2:2" x14ac:dyDescent="0.35">
      <c r="B40" t="s">
        <v>152</v>
      </c>
    </row>
    <row r="41" spans="2:2" x14ac:dyDescent="0.35">
      <c r="B41" t="s">
        <v>153</v>
      </c>
    </row>
    <row r="42" spans="2:2" x14ac:dyDescent="0.35">
      <c r="B42" t="s">
        <v>154</v>
      </c>
    </row>
    <row r="43" spans="2:2" x14ac:dyDescent="0.35">
      <c r="B43" t="s">
        <v>155</v>
      </c>
    </row>
    <row r="44" spans="2:2" x14ac:dyDescent="0.35">
      <c r="B44" t="s">
        <v>203</v>
      </c>
    </row>
    <row r="47" spans="2:2" x14ac:dyDescent="0.35">
      <c r="B47" t="s">
        <v>156</v>
      </c>
    </row>
    <row r="48" spans="2:2" x14ac:dyDescent="0.35">
      <c r="B48" t="s">
        <v>157</v>
      </c>
    </row>
    <row r="49" spans="2:2" x14ac:dyDescent="0.35">
      <c r="B49" t="s">
        <v>158</v>
      </c>
    </row>
    <row r="50" spans="2:2" x14ac:dyDescent="0.35">
      <c r="B50" t="s">
        <v>159</v>
      </c>
    </row>
    <row r="51" spans="2:2" x14ac:dyDescent="0.35">
      <c r="B51" t="s">
        <v>160</v>
      </c>
    </row>
    <row r="52" spans="2:2" x14ac:dyDescent="0.35">
      <c r="B52" t="s">
        <v>204</v>
      </c>
    </row>
    <row r="55" spans="2:2" x14ac:dyDescent="0.35">
      <c r="B55" t="s">
        <v>161</v>
      </c>
    </row>
    <row r="56" spans="2:2" x14ac:dyDescent="0.35">
      <c r="B56" t="s">
        <v>162</v>
      </c>
    </row>
    <row r="57" spans="2:2" x14ac:dyDescent="0.35">
      <c r="B57" t="s">
        <v>205</v>
      </c>
    </row>
    <row r="60" spans="2:2" x14ac:dyDescent="0.35">
      <c r="B60" t="s">
        <v>163</v>
      </c>
    </row>
    <row r="61" spans="2:2" x14ac:dyDescent="0.35">
      <c r="B61" t="s">
        <v>164</v>
      </c>
    </row>
    <row r="62" spans="2:2" x14ac:dyDescent="0.35">
      <c r="B62" t="s">
        <v>165</v>
      </c>
    </row>
    <row r="63" spans="2:2" x14ac:dyDescent="0.35">
      <c r="B63" t="s">
        <v>206</v>
      </c>
    </row>
    <row r="66" spans="2:2" x14ac:dyDescent="0.35">
      <c r="B66" t="s">
        <v>166</v>
      </c>
    </row>
    <row r="67" spans="2:2" x14ac:dyDescent="0.35">
      <c r="B67" t="s">
        <v>167</v>
      </c>
    </row>
    <row r="68" spans="2:2" x14ac:dyDescent="0.35">
      <c r="B68" t="s">
        <v>168</v>
      </c>
    </row>
    <row r="69" spans="2:2" x14ac:dyDescent="0.35">
      <c r="B69" t="s">
        <v>207</v>
      </c>
    </row>
    <row r="72" spans="2:2" x14ac:dyDescent="0.35">
      <c r="B72" t="s">
        <v>169</v>
      </c>
    </row>
    <row r="73" spans="2:2" x14ac:dyDescent="0.35">
      <c r="B73" t="s">
        <v>170</v>
      </c>
    </row>
    <row r="74" spans="2:2" x14ac:dyDescent="0.35">
      <c r="B74" t="s">
        <v>171</v>
      </c>
    </row>
    <row r="75" spans="2:2" x14ac:dyDescent="0.35">
      <c r="B75" t="s">
        <v>208</v>
      </c>
    </row>
    <row r="78" spans="2:2" x14ac:dyDescent="0.35">
      <c r="B78" t="s">
        <v>172</v>
      </c>
    </row>
    <row r="79" spans="2:2" x14ac:dyDescent="0.35">
      <c r="B79" t="s">
        <v>173</v>
      </c>
    </row>
    <row r="80" spans="2:2" x14ac:dyDescent="0.35">
      <c r="B80" t="s">
        <v>174</v>
      </c>
    </row>
    <row r="81" spans="2:2" x14ac:dyDescent="0.35">
      <c r="B81" t="s">
        <v>175</v>
      </c>
    </row>
    <row r="82" spans="2:2" x14ac:dyDescent="0.35">
      <c r="B82" t="s">
        <v>209</v>
      </c>
    </row>
    <row r="85" spans="2:2" x14ac:dyDescent="0.35">
      <c r="B85" t="s">
        <v>176</v>
      </c>
    </row>
    <row r="86" spans="2:2" x14ac:dyDescent="0.35">
      <c r="B86" t="s">
        <v>177</v>
      </c>
    </row>
    <row r="87" spans="2:2" x14ac:dyDescent="0.35">
      <c r="B87" t="s">
        <v>178</v>
      </c>
    </row>
    <row r="88" spans="2:2" x14ac:dyDescent="0.35">
      <c r="B88" t="s">
        <v>179</v>
      </c>
    </row>
    <row r="89" spans="2:2" x14ac:dyDescent="0.35">
      <c r="B89" t="s">
        <v>210</v>
      </c>
    </row>
    <row r="92" spans="2:2" x14ac:dyDescent="0.35">
      <c r="B92" t="s">
        <v>180</v>
      </c>
    </row>
    <row r="93" spans="2:2" x14ac:dyDescent="0.35">
      <c r="B93" t="s">
        <v>211</v>
      </c>
    </row>
    <row r="96" spans="2:2" x14ac:dyDescent="0.35">
      <c r="B96" t="s">
        <v>181</v>
      </c>
    </row>
    <row r="97" spans="2:2" x14ac:dyDescent="0.35">
      <c r="B97" t="s">
        <v>182</v>
      </c>
    </row>
    <row r="98" spans="2:2" x14ac:dyDescent="0.35">
      <c r="B98" t="s">
        <v>183</v>
      </c>
    </row>
    <row r="99" spans="2:2" x14ac:dyDescent="0.35">
      <c r="B99" t="s">
        <v>212</v>
      </c>
    </row>
    <row r="102" spans="2:2" x14ac:dyDescent="0.35">
      <c r="B102" t="s">
        <v>184</v>
      </c>
    </row>
    <row r="103" spans="2:2" x14ac:dyDescent="0.35">
      <c r="B103" t="s">
        <v>185</v>
      </c>
    </row>
    <row r="104" spans="2:2" x14ac:dyDescent="0.35">
      <c r="B104" t="s">
        <v>213</v>
      </c>
    </row>
    <row r="107" spans="2:2" x14ac:dyDescent="0.35">
      <c r="B107" t="s">
        <v>186</v>
      </c>
    </row>
    <row r="108" spans="2:2" x14ac:dyDescent="0.35">
      <c r="B108" t="s">
        <v>214</v>
      </c>
    </row>
    <row r="111" spans="2:2" x14ac:dyDescent="0.35">
      <c r="B111" s="13" t="s">
        <v>187</v>
      </c>
    </row>
    <row r="112" spans="2:2" x14ac:dyDescent="0.35">
      <c r="B112" t="s">
        <v>188</v>
      </c>
    </row>
    <row r="113" spans="2:2" x14ac:dyDescent="0.35">
      <c r="B113" t="s">
        <v>215</v>
      </c>
    </row>
    <row r="116" spans="2:2" x14ac:dyDescent="0.35">
      <c r="B116" t="s">
        <v>189</v>
      </c>
    </row>
    <row r="117" spans="2:2" x14ac:dyDescent="0.35">
      <c r="B117" t="s">
        <v>190</v>
      </c>
    </row>
    <row r="118" spans="2:2" x14ac:dyDescent="0.35">
      <c r="B118" t="s">
        <v>191</v>
      </c>
    </row>
    <row r="119" spans="2:2" x14ac:dyDescent="0.35">
      <c r="B119" t="s">
        <v>216</v>
      </c>
    </row>
    <row r="122" spans="2:2" x14ac:dyDescent="0.35">
      <c r="B122" t="s">
        <v>192</v>
      </c>
    </row>
    <row r="123" spans="2:2" x14ac:dyDescent="0.35">
      <c r="B123" t="s">
        <v>193</v>
      </c>
    </row>
    <row r="124" spans="2:2" x14ac:dyDescent="0.35">
      <c r="B124" t="s">
        <v>194</v>
      </c>
    </row>
    <row r="125" spans="2:2" x14ac:dyDescent="0.35">
      <c r="B125" t="s">
        <v>217</v>
      </c>
    </row>
    <row r="128" spans="2:2" x14ac:dyDescent="0.35">
      <c r="B128" t="s">
        <v>195</v>
      </c>
    </row>
    <row r="129" spans="2:2" x14ac:dyDescent="0.35">
      <c r="B129" t="s">
        <v>196</v>
      </c>
    </row>
    <row r="130" spans="2:2" x14ac:dyDescent="0.35">
      <c r="B130" t="s">
        <v>218</v>
      </c>
    </row>
  </sheetData>
  <hyperlinks>
    <hyperlink ref="A1" location="Main!A1" display="Main" xr:uid="{F3093F2D-8B7B-4F5A-B91E-4C33F006F792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996B8-C576-42D1-A78B-FFEACC32BD6E}">
  <dimension ref="B2:O30"/>
  <sheetViews>
    <sheetView workbookViewId="0">
      <selection activeCell="D8" sqref="D8"/>
    </sheetView>
  </sheetViews>
  <sheetFormatPr defaultRowHeight="14.5" x14ac:dyDescent="0.35"/>
  <sheetData>
    <row r="2" spans="2:15" x14ac:dyDescent="0.35">
      <c r="B2" t="s">
        <v>26</v>
      </c>
      <c r="O2" t="s">
        <v>255</v>
      </c>
    </row>
    <row r="4" spans="2:15" x14ac:dyDescent="0.35">
      <c r="B4" s="13" t="s">
        <v>27</v>
      </c>
    </row>
    <row r="6" spans="2:15" x14ac:dyDescent="0.35">
      <c r="B6" s="13" t="s">
        <v>28</v>
      </c>
    </row>
    <row r="7" spans="2:15" x14ac:dyDescent="0.35">
      <c r="B7" t="s">
        <v>29</v>
      </c>
    </row>
    <row r="9" spans="2:15" x14ac:dyDescent="0.35">
      <c r="B9" t="s">
        <v>30</v>
      </c>
    </row>
    <row r="11" spans="2:15" x14ac:dyDescent="0.35">
      <c r="B11" t="s">
        <v>31</v>
      </c>
    </row>
    <row r="13" spans="2:15" x14ac:dyDescent="0.35">
      <c r="B13" t="s">
        <v>32</v>
      </c>
    </row>
    <row r="15" spans="2:15" x14ac:dyDescent="0.35">
      <c r="B15" t="s">
        <v>33</v>
      </c>
    </row>
    <row r="16" spans="2:15" x14ac:dyDescent="0.35">
      <c r="B16" t="s">
        <v>34</v>
      </c>
    </row>
    <row r="18" spans="2:3" x14ac:dyDescent="0.35">
      <c r="B18" t="s">
        <v>99</v>
      </c>
    </row>
    <row r="20" spans="2:3" x14ac:dyDescent="0.35">
      <c r="B20" t="s">
        <v>219</v>
      </c>
    </row>
    <row r="22" spans="2:3" x14ac:dyDescent="0.35">
      <c r="B22" s="13" t="s">
        <v>239</v>
      </c>
      <c r="C22" t="s">
        <v>240</v>
      </c>
    </row>
    <row r="24" spans="2:3" x14ac:dyDescent="0.35">
      <c r="B24" t="s">
        <v>246</v>
      </c>
    </row>
    <row r="25" spans="2:3" x14ac:dyDescent="0.35">
      <c r="C25" t="s">
        <v>250</v>
      </c>
    </row>
    <row r="27" spans="2:3" x14ac:dyDescent="0.35">
      <c r="B27" t="s">
        <v>260</v>
      </c>
      <c r="C27" t="s">
        <v>261</v>
      </c>
    </row>
    <row r="29" spans="2:3" x14ac:dyDescent="0.35">
      <c r="B29" t="s">
        <v>264</v>
      </c>
    </row>
    <row r="30" spans="2:3" x14ac:dyDescent="0.35">
      <c r="B30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</vt:lpstr>
      <vt:lpstr>intepirdine</vt:lpstr>
      <vt:lpstr>nelatoserin</vt:lpstr>
      <vt:lpstr>idalopirdine</vt:lpstr>
      <vt:lpstr>MINDSET</vt:lpstr>
      <vt:lpstr>model</vt:lpstr>
      <vt:lpstr>Literature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Medina</dc:creator>
  <cp:lastModifiedBy>Eduardo Medina Resende de Oliveira</cp:lastModifiedBy>
  <dcterms:created xsi:type="dcterms:W3CDTF">2015-06-05T18:17:20Z</dcterms:created>
  <dcterms:modified xsi:type="dcterms:W3CDTF">2025-08-09T22:31:28Z</dcterms:modified>
</cp:coreProperties>
</file>