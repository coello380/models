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35F98E2B-9374-42E4-A3C8-87E56C9C20F3}" xr6:coauthVersionLast="47" xr6:coauthVersionMax="47" xr10:uidLastSave="{00000000-0000-0000-0000-000000000000}"/>
  <bookViews>
    <workbookView xWindow="3220" yWindow="4030" windowWidth="18180" windowHeight="13630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5" i="1"/>
  <c r="L8" i="1" s="1"/>
</calcChain>
</file>

<file path=xl/sharedStrings.xml><?xml version="1.0" encoding="utf-8"?>
<sst xmlns="http://schemas.openxmlformats.org/spreadsheetml/2006/main" count="18" uniqueCount="18">
  <si>
    <t>Price</t>
  </si>
  <si>
    <t>Shares</t>
  </si>
  <si>
    <t>MC</t>
  </si>
  <si>
    <t>Cash</t>
  </si>
  <si>
    <t>Debt</t>
  </si>
  <si>
    <t>EV</t>
  </si>
  <si>
    <t>Name</t>
  </si>
  <si>
    <t>Indication</t>
  </si>
  <si>
    <t>MOA</t>
  </si>
  <si>
    <t>Economics</t>
  </si>
  <si>
    <t>Approved</t>
  </si>
  <si>
    <t>Abor 50%</t>
  </si>
  <si>
    <t>CNS</t>
  </si>
  <si>
    <t>4D-150</t>
  </si>
  <si>
    <t>SPECTRA</t>
  </si>
  <si>
    <t>Expected events:</t>
  </si>
  <si>
    <t>SPECTRA P3</t>
  </si>
  <si>
    <t>DME trial interim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</si>
</sst>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15"/>
  <sheetViews>
    <sheetView tabSelected="1" workbookViewId="0">
      <selection activeCell="K16" sqref="K16"/>
    </sheetView>
  </sheetViews>
  <sheetFormatPr defaultRowHeight="14.5" x14ac:dyDescent="0.35"/>
  <sheetData>
    <row r="3" spans="2:12" x14ac:dyDescent="0.35">
      <c r="B3" t="s">
        <v>6</v>
      </c>
      <c r="C3" t="s">
        <v>7</v>
      </c>
      <c r="D3" t="s">
        <v>8</v>
      </c>
      <c r="E3" t="s">
        <v>9</v>
      </c>
      <c r="F3" t="s">
        <v>10</v>
      </c>
      <c r="K3" t="s">
        <v>0</v>
      </c>
      <c r="L3">
        <v>8.32</v>
      </c>
    </row>
    <row r="4" spans="2:12" x14ac:dyDescent="0.35">
      <c r="C4" t="s">
        <v>12</v>
      </c>
      <c r="E4" t="s">
        <v>11</v>
      </c>
      <c r="K4" t="s">
        <v>1</v>
      </c>
      <c r="L4">
        <v>45.8</v>
      </c>
    </row>
    <row r="5" spans="2:12" x14ac:dyDescent="0.35">
      <c r="B5" t="s">
        <v>13</v>
      </c>
      <c r="K5" t="s">
        <v>2</v>
      </c>
      <c r="L5">
        <f>L3*L4</f>
        <v>381.05599999999998</v>
      </c>
    </row>
    <row r="6" spans="2:12" x14ac:dyDescent="0.35">
      <c r="K6" t="s">
        <v>3</v>
      </c>
      <c r="L6">
        <v>77</v>
      </c>
    </row>
    <row r="7" spans="2:12" x14ac:dyDescent="0.35">
      <c r="K7" t="s">
        <v>4</v>
      </c>
      <c r="L7">
        <f>17+6</f>
        <v>23</v>
      </c>
    </row>
    <row r="8" spans="2:12" x14ac:dyDescent="0.35">
      <c r="K8" t="s">
        <v>5</v>
      </c>
      <c r="L8">
        <f>L5-L6+L7</f>
        <v>327.05599999999998</v>
      </c>
    </row>
    <row r="11" spans="2:12" x14ac:dyDescent="0.35">
      <c r="K11" t="s">
        <v>14</v>
      </c>
    </row>
    <row r="13" spans="2:12" x14ac:dyDescent="0.35">
      <c r="K13" t="s">
        <v>15</v>
      </c>
    </row>
    <row r="14" spans="2:12" x14ac:dyDescent="0.35">
      <c r="K14" t="s">
        <v>16</v>
      </c>
    </row>
    <row r="15" spans="2:12" x14ac:dyDescent="0.35">
      <c r="K1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1DD1-7450-4CC7-9C48-9A9D4C1065C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2025-09-29T18:01:39Z</dcterms:modified>
</cp:coreProperties>
</file>