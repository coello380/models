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odels\GILD\"/>
    </mc:Choice>
  </mc:AlternateContent>
  <xr:revisionPtr revIDLastSave="0" documentId="13_ncr:1_{53E70635-44AF-40E1-9380-32B80815A737}" xr6:coauthVersionLast="47" xr6:coauthVersionMax="47" xr10:uidLastSave="{00000000-0000-0000-0000-000000000000}"/>
  <bookViews>
    <workbookView xWindow="1140" yWindow="1140" windowWidth="16380" windowHeight="9660" xr2:uid="{00000000-000D-0000-FFFF-FFFF00000000}"/>
  </bookViews>
  <sheets>
    <sheet name="Main" sheetId="1" r:id="rId1"/>
    <sheet name="Model" sheetId="2" r:id="rId2"/>
    <sheet name="candidates" sheetId="5" r:id="rId3"/>
    <sheet name="Genvoya" sheetId="4" r:id="rId4"/>
    <sheet name="Biktarvy" sheetId="3" r:id="rId5"/>
    <sheet name="Lenacapavir" sheetId="7" r:id="rId6"/>
    <sheet name="Apretude" sheetId="9" r:id="rId7"/>
    <sheet name="Literatur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P5" i="2"/>
  <c r="P11" i="2" s="1"/>
  <c r="P14" i="2" s="1"/>
  <c r="P16" i="2" s="1"/>
  <c r="O5" i="2"/>
  <c r="O11" i="2" s="1"/>
  <c r="O14" i="2" s="1"/>
  <c r="O16" i="2" s="1"/>
  <c r="N5" i="2"/>
  <c r="N11" i="2" s="1"/>
  <c r="N14" i="2" s="1"/>
  <c r="N16" i="2" s="1"/>
  <c r="O2" i="2"/>
  <c r="P2" i="2" s="1"/>
  <c r="Q6" i="1"/>
  <c r="Q5" i="1"/>
  <c r="Q4" i="1" l="1"/>
  <c r="Q7" i="1" s="1"/>
</calcChain>
</file>

<file path=xl/sharedStrings.xml><?xml version="1.0" encoding="utf-8"?>
<sst xmlns="http://schemas.openxmlformats.org/spreadsheetml/2006/main" count="177" uniqueCount="121">
  <si>
    <t>Price</t>
  </si>
  <si>
    <t>Shares</t>
  </si>
  <si>
    <t>MC</t>
  </si>
  <si>
    <t>Cash</t>
  </si>
  <si>
    <t>Debt</t>
  </si>
  <si>
    <t>EV</t>
  </si>
  <si>
    <t>Brand</t>
  </si>
  <si>
    <t>Generic</t>
  </si>
  <si>
    <t>Indication</t>
  </si>
  <si>
    <t>Phase</t>
  </si>
  <si>
    <t>Economics</t>
  </si>
  <si>
    <t>IP</t>
  </si>
  <si>
    <t>HIV-1</t>
  </si>
  <si>
    <t>Biktarvy</t>
  </si>
  <si>
    <t>Genoya</t>
  </si>
  <si>
    <t>Descovy</t>
  </si>
  <si>
    <t>Odefsey</t>
  </si>
  <si>
    <t>Conplera</t>
  </si>
  <si>
    <t>Symtuza</t>
  </si>
  <si>
    <t>Truvada</t>
  </si>
  <si>
    <t>Stribild</t>
  </si>
  <si>
    <t>Sunlenca</t>
  </si>
  <si>
    <t>Epclusa</t>
  </si>
  <si>
    <t>Vemlidy</t>
  </si>
  <si>
    <t>Harvoni</t>
  </si>
  <si>
    <t>Viread</t>
  </si>
  <si>
    <t>Livdelzi</t>
  </si>
  <si>
    <t>Liver disease</t>
  </si>
  <si>
    <t>Veklury</t>
  </si>
  <si>
    <t>COVID-19</t>
  </si>
  <si>
    <t>Yescarta</t>
  </si>
  <si>
    <t>cell therapy</t>
  </si>
  <si>
    <t>Tercartus</t>
  </si>
  <si>
    <t>Trodelvy</t>
  </si>
  <si>
    <t>AmBisome</t>
  </si>
  <si>
    <t>Letairis</t>
  </si>
  <si>
    <t>Name</t>
  </si>
  <si>
    <t>Approved</t>
  </si>
  <si>
    <t>MOA</t>
  </si>
  <si>
    <t>Mechanism</t>
  </si>
  <si>
    <t>Competition</t>
  </si>
  <si>
    <t>Main</t>
  </si>
  <si>
    <t>Genvoya</t>
  </si>
  <si>
    <t>Clinical Trials</t>
  </si>
  <si>
    <t>Phase III n= 1733 NCT01780506 &amp; NCT01797445</t>
  </si>
  <si>
    <t>Lenacapavir</t>
  </si>
  <si>
    <t>Bulevirtide</t>
  </si>
  <si>
    <t>Viral Disease</t>
  </si>
  <si>
    <t>Axicabtagene ciloleucel</t>
  </si>
  <si>
    <t>Anitocabtagene autoleucel</t>
  </si>
  <si>
    <t>Sacituzumab govitecan-hziy</t>
  </si>
  <si>
    <t>Zimberelimab</t>
  </si>
  <si>
    <t>Domvanalimab</t>
  </si>
  <si>
    <t>Oncology</t>
  </si>
  <si>
    <t>Brand Name</t>
  </si>
  <si>
    <t>Buleviritide</t>
  </si>
  <si>
    <t>III</t>
  </si>
  <si>
    <t>Domvanalimab and zimberelimab</t>
  </si>
  <si>
    <t>Product sales</t>
  </si>
  <si>
    <t>Royalty, contract and other revenues</t>
  </si>
  <si>
    <t>Total revenue</t>
  </si>
  <si>
    <t>COGS</t>
  </si>
  <si>
    <t>R&amp;D</t>
  </si>
  <si>
    <t>Acquired in-process research and development expenses</t>
  </si>
  <si>
    <t>In-process research and development impairmnets</t>
  </si>
  <si>
    <t>SG&amp;A</t>
  </si>
  <si>
    <t>Operating income</t>
  </si>
  <si>
    <t>Interest expense</t>
  </si>
  <si>
    <t>Other (income) expense, net</t>
  </si>
  <si>
    <t>Before tax income</t>
  </si>
  <si>
    <t>Income tax expense</t>
  </si>
  <si>
    <t>Net income</t>
  </si>
  <si>
    <t>EPS</t>
  </si>
  <si>
    <t>4Q24</t>
  </si>
  <si>
    <t>HIV</t>
  </si>
  <si>
    <t>Physiochemestry</t>
  </si>
  <si>
    <t>Daniel P. O'Day</t>
  </si>
  <si>
    <t>CEO</t>
  </si>
  <si>
    <t>CMO</t>
  </si>
  <si>
    <t>CFO</t>
  </si>
  <si>
    <t>Dietmar Berger</t>
  </si>
  <si>
    <t>Andrew D. Dickinson</t>
  </si>
  <si>
    <t>PrEP or capsid inhibitor</t>
  </si>
  <si>
    <t>Apretude</t>
  </si>
  <si>
    <t xml:space="preserve">Brand </t>
  </si>
  <si>
    <t>Indicaiton</t>
  </si>
  <si>
    <t xml:space="preserve">Mechanism </t>
  </si>
  <si>
    <t>Physiochemistry</t>
  </si>
  <si>
    <t>Clinical trials</t>
  </si>
  <si>
    <t>Cabotegravir</t>
  </si>
  <si>
    <t>Heavily treatment-experienced people living with HIV in the OPERA® cohort: population characteristics and clinical outcomes</t>
  </si>
  <si>
    <t>2: Hsu et al.</t>
  </si>
  <si>
    <t>DOI: 10.1186/s12879-023-08038-w</t>
  </si>
  <si>
    <t>Twice-Yearly Lenacapavir for HIV Prevention in Men and Gender-Diverse Persons, DOI: 10.1056/NEJMoa2411858</t>
  </si>
  <si>
    <t>3: Cabotegravir Long-Acting for Pre-Exposure Prophylaxis (PrEP): Real World Data on On-Time Dosing, HIV Testing and HIV Acquisition from the OPERA Cohort</t>
  </si>
  <si>
    <t>DOI</t>
  </si>
  <si>
    <t>2 initiation injections, continuation every 2 months</t>
  </si>
  <si>
    <t>HiV</t>
  </si>
  <si>
    <t>Cabotegravir long-acting (CAB LA)</t>
  </si>
  <si>
    <t>OPERA n=19271</t>
  </si>
  <si>
    <t>CAP LA PrEP vs. Oral PrEP</t>
  </si>
  <si>
    <t>competitor from VIIV</t>
  </si>
  <si>
    <t>1: Kelley et al. 2024</t>
  </si>
  <si>
    <t>subcutaneus lenacapavir vs oral emtricitabine-tenofir disopoxil fumarate (F/TDF)</t>
  </si>
  <si>
    <t>Phase III "PURPUSE 2" n=3265 NCT04925752</t>
  </si>
  <si>
    <t>lenacapavir</t>
  </si>
  <si>
    <t>F/TDF</t>
  </si>
  <si>
    <t>PE is the incidence of HIV infection in intention to treat vs. HIV incidence in screened population</t>
  </si>
  <si>
    <t>p=0.002</t>
  </si>
  <si>
    <t>p&lt;0.001</t>
  </si>
  <si>
    <t>Incidence ratio</t>
  </si>
  <si>
    <t>No treatment</t>
  </si>
  <si>
    <t>Intention to treat group</t>
  </si>
  <si>
    <t>Screened population n=4634</t>
  </si>
  <si>
    <t>counterfactual control?</t>
  </si>
  <si>
    <t>note: still not 100% clear on the paper, read more carefully (1st paper in the bibliography)</t>
  </si>
  <si>
    <t>Q424</t>
  </si>
  <si>
    <t>Q324</t>
  </si>
  <si>
    <t>Q125</t>
  </si>
  <si>
    <t>Filed for approval, June 19, 2025 expect updates</t>
  </si>
  <si>
    <t>price to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</si>
</sst>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1" fillId="0" borderId="0" xfId="1"/>
    <xf numFmtId="0" fontId="2" fillId="0" borderId="0" xfId="0" applyFont="1"/>
    <xf numFmtId="0" fontId="0" fillId="0" borderId="1" xfId="0" applyBorder="1"/>
    <xf numFmtId="9" fontId="0" fillId="0" borderId="0" xfId="0" applyNumberFormat="1"/>
    <xf numFmtId="4" fontId="0" fillId="0" borderId="0" xfId="0" applyNumberFormat="1"/>
    <xf numFmtId="20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7230</xdr:colOff>
      <xdr:row>2</xdr:row>
      <xdr:rowOff>12699</xdr:rowOff>
    </xdr:from>
    <xdr:to>
      <xdr:col>12</xdr:col>
      <xdr:colOff>540241</xdr:colOff>
      <xdr:row>12</xdr:row>
      <xdr:rowOff>171724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7C29C-9A9D-E1B5-5324-C9A2AA0FD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4430" y="380999"/>
          <a:ext cx="3581011" cy="2000525"/>
        </a:xfrm>
        <a:prstGeom prst="rect">
          <a:avLst/>
        </a:prstGeom>
      </xdr:spPr>
    </xdr:pic>
    <xdr:clientData/>
  </xdr:twoCellAnchor>
  <xdr:twoCellAnchor editAs="oneCell">
    <xdr:from>
      <xdr:col>7</xdr:col>
      <xdr:colOff>146050</xdr:colOff>
      <xdr:row>14</xdr:row>
      <xdr:rowOff>74706</xdr:rowOff>
    </xdr:from>
    <xdr:to>
      <xdr:col>13</xdr:col>
      <xdr:colOff>235439</xdr:colOff>
      <xdr:row>25</xdr:row>
      <xdr:rowOff>152673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2EE81-14AE-AF21-3166-967607563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3250" y="2652806"/>
          <a:ext cx="3746989" cy="2103617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28</xdr:row>
      <xdr:rowOff>9931</xdr:rowOff>
    </xdr:from>
    <xdr:to>
      <xdr:col>14</xdr:col>
      <xdr:colOff>184651</xdr:colOff>
      <xdr:row>40</xdr:row>
      <xdr:rowOff>57413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B20D7D-29AA-D857-B783-73BF91C9F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19600" y="5166131"/>
          <a:ext cx="4299451" cy="2257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33"/>
  <sheetViews>
    <sheetView tabSelected="1" topLeftCell="J4" zoomScale="130" zoomScaleNormal="130" workbookViewId="0">
      <selection activeCell="Q15" sqref="Q15"/>
    </sheetView>
  </sheetViews>
  <sheetFormatPr defaultRowHeight="14.5" x14ac:dyDescent="0.35"/>
  <cols>
    <col min="2" max="2" width="29.36328125" bestFit="1" customWidth="1"/>
    <col min="3" max="3" width="11.453125" bestFit="1" customWidth="1"/>
    <col min="4" max="4" width="11.36328125" bestFit="1" customWidth="1"/>
    <col min="5" max="5" width="9.6328125" bestFit="1" customWidth="1"/>
    <col min="6" max="6" width="17.26953125" bestFit="1" customWidth="1"/>
    <col min="7" max="7" width="11.08984375" bestFit="1" customWidth="1"/>
  </cols>
  <sheetData>
    <row r="2" spans="2:18" x14ac:dyDescent="0.35">
      <c r="B2" s="4" t="s">
        <v>54</v>
      </c>
      <c r="C2" s="4" t="s">
        <v>7</v>
      </c>
      <c r="D2" s="4" t="s">
        <v>8</v>
      </c>
      <c r="E2" s="4" t="s">
        <v>10</v>
      </c>
      <c r="F2" s="4" t="s">
        <v>37</v>
      </c>
      <c r="G2" s="4" t="s">
        <v>38</v>
      </c>
      <c r="H2" s="4" t="s">
        <v>11</v>
      </c>
      <c r="P2" t="s">
        <v>0</v>
      </c>
      <c r="Q2">
        <v>105.75</v>
      </c>
    </row>
    <row r="3" spans="2:18" x14ac:dyDescent="0.35">
      <c r="B3" t="s">
        <v>13</v>
      </c>
      <c r="D3" t="s">
        <v>12</v>
      </c>
      <c r="E3" s="5">
        <v>1</v>
      </c>
      <c r="F3">
        <v>2024</v>
      </c>
      <c r="H3">
        <v>2033</v>
      </c>
      <c r="P3" t="s">
        <v>1</v>
      </c>
      <c r="Q3">
        <v>1245</v>
      </c>
      <c r="R3" t="s">
        <v>73</v>
      </c>
    </row>
    <row r="4" spans="2:18" x14ac:dyDescent="0.35">
      <c r="B4" t="s">
        <v>14</v>
      </c>
      <c r="D4" t="s">
        <v>12</v>
      </c>
      <c r="E4" s="5">
        <v>1</v>
      </c>
      <c r="P4" t="s">
        <v>2</v>
      </c>
      <c r="Q4" s="1">
        <f>Q3*Q2</f>
        <v>131658.75</v>
      </c>
    </row>
    <row r="5" spans="2:18" x14ac:dyDescent="0.35">
      <c r="B5" t="s">
        <v>15</v>
      </c>
      <c r="D5" t="s">
        <v>12</v>
      </c>
      <c r="E5" s="5">
        <v>1</v>
      </c>
      <c r="H5">
        <v>2031</v>
      </c>
      <c r="P5" t="s">
        <v>3</v>
      </c>
      <c r="Q5" s="6">
        <f>9991</f>
        <v>9991</v>
      </c>
      <c r="R5" t="s">
        <v>73</v>
      </c>
    </row>
    <row r="6" spans="2:18" x14ac:dyDescent="0.35">
      <c r="B6" t="s">
        <v>16</v>
      </c>
      <c r="D6" t="s">
        <v>12</v>
      </c>
      <c r="H6">
        <v>2032</v>
      </c>
      <c r="P6" t="s">
        <v>4</v>
      </c>
      <c r="Q6" s="6">
        <f>24896+1815</f>
        <v>26711</v>
      </c>
      <c r="R6" t="s">
        <v>73</v>
      </c>
    </row>
    <row r="7" spans="2:18" x14ac:dyDescent="0.35">
      <c r="B7" t="s">
        <v>17</v>
      </c>
      <c r="D7" t="s">
        <v>12</v>
      </c>
      <c r="H7">
        <v>2025</v>
      </c>
      <c r="P7" t="s">
        <v>5</v>
      </c>
      <c r="Q7" s="1">
        <f>Q4-Q5+Q6</f>
        <v>148378.75</v>
      </c>
    </row>
    <row r="8" spans="2:18" x14ac:dyDescent="0.35">
      <c r="B8" t="s">
        <v>18</v>
      </c>
      <c r="D8" t="s">
        <v>12</v>
      </c>
    </row>
    <row r="9" spans="2:18" x14ac:dyDescent="0.35">
      <c r="B9" t="s">
        <v>19</v>
      </c>
      <c r="D9" t="s">
        <v>12</v>
      </c>
    </row>
    <row r="10" spans="2:18" x14ac:dyDescent="0.35">
      <c r="B10" t="s">
        <v>20</v>
      </c>
      <c r="D10" t="s">
        <v>12</v>
      </c>
      <c r="H10">
        <v>2029</v>
      </c>
      <c r="O10" t="s">
        <v>77</v>
      </c>
      <c r="P10" t="s">
        <v>76</v>
      </c>
    </row>
    <row r="11" spans="2:18" x14ac:dyDescent="0.35">
      <c r="B11" t="s">
        <v>21</v>
      </c>
      <c r="D11" t="s">
        <v>12</v>
      </c>
      <c r="H11">
        <v>2037</v>
      </c>
      <c r="O11" t="s">
        <v>78</v>
      </c>
      <c r="P11" t="s">
        <v>80</v>
      </c>
    </row>
    <row r="12" spans="2:18" x14ac:dyDescent="0.35">
      <c r="B12" t="s">
        <v>22</v>
      </c>
      <c r="D12" t="s">
        <v>27</v>
      </c>
      <c r="H12">
        <v>2033</v>
      </c>
      <c r="O12" t="s">
        <v>79</v>
      </c>
      <c r="P12" t="s">
        <v>81</v>
      </c>
    </row>
    <row r="13" spans="2:18" x14ac:dyDescent="0.35">
      <c r="B13" t="s">
        <v>23</v>
      </c>
      <c r="D13" t="s">
        <v>27</v>
      </c>
      <c r="F13">
        <v>2024</v>
      </c>
      <c r="H13">
        <v>2031</v>
      </c>
    </row>
    <row r="14" spans="2:18" x14ac:dyDescent="0.35">
      <c r="B14" t="s">
        <v>24</v>
      </c>
      <c r="D14" t="s">
        <v>27</v>
      </c>
      <c r="P14" t="s">
        <v>120</v>
      </c>
      <c r="Q14">
        <f>Q4/Model!P3</f>
        <v>4.6018437609227547</v>
      </c>
    </row>
    <row r="15" spans="2:18" x14ac:dyDescent="0.35">
      <c r="B15" t="s">
        <v>25</v>
      </c>
      <c r="D15" t="s">
        <v>27</v>
      </c>
    </row>
    <row r="16" spans="2:18" x14ac:dyDescent="0.35">
      <c r="B16" t="s">
        <v>26</v>
      </c>
      <c r="D16" t="s">
        <v>27</v>
      </c>
      <c r="F16">
        <v>2024</v>
      </c>
    </row>
    <row r="17" spans="2:9" x14ac:dyDescent="0.35">
      <c r="B17" t="s">
        <v>28</v>
      </c>
      <c r="D17" t="s">
        <v>29</v>
      </c>
      <c r="H17">
        <v>2036</v>
      </c>
    </row>
    <row r="18" spans="2:9" x14ac:dyDescent="0.35">
      <c r="B18" t="s">
        <v>30</v>
      </c>
      <c r="D18" t="s">
        <v>31</v>
      </c>
    </row>
    <row r="19" spans="2:9" x14ac:dyDescent="0.35">
      <c r="B19" t="s">
        <v>32</v>
      </c>
      <c r="H19">
        <v>2027</v>
      </c>
    </row>
    <row r="20" spans="2:9" x14ac:dyDescent="0.35">
      <c r="B20" t="s">
        <v>33</v>
      </c>
      <c r="F20">
        <v>2024</v>
      </c>
      <c r="H20">
        <v>2028</v>
      </c>
    </row>
    <row r="21" spans="2:9" x14ac:dyDescent="0.35">
      <c r="B21" t="s">
        <v>34</v>
      </c>
    </row>
    <row r="22" spans="2:9" x14ac:dyDescent="0.35">
      <c r="B22" t="s">
        <v>35</v>
      </c>
    </row>
    <row r="23" spans="2:9" x14ac:dyDescent="0.35">
      <c r="B23" s="2" t="s">
        <v>83</v>
      </c>
      <c r="C23" t="s">
        <v>89</v>
      </c>
      <c r="D23" t="s">
        <v>12</v>
      </c>
      <c r="F23">
        <v>2022</v>
      </c>
      <c r="I23" t="s">
        <v>101</v>
      </c>
    </row>
    <row r="24" spans="2:9" x14ac:dyDescent="0.35">
      <c r="B24" s="2" t="s">
        <v>45</v>
      </c>
      <c r="F24" t="s">
        <v>119</v>
      </c>
    </row>
    <row r="25" spans="2:9" x14ac:dyDescent="0.35">
      <c r="B25" s="2"/>
    </row>
    <row r="26" spans="2:9" x14ac:dyDescent="0.35">
      <c r="F26" s="4" t="s">
        <v>9</v>
      </c>
      <c r="G26" s="4" t="s">
        <v>39</v>
      </c>
      <c r="H26" s="4" t="s">
        <v>40</v>
      </c>
    </row>
    <row r="27" spans="2:9" x14ac:dyDescent="0.35">
      <c r="B27" s="2"/>
    </row>
    <row r="28" spans="2:9" x14ac:dyDescent="0.35">
      <c r="B28" t="s">
        <v>55</v>
      </c>
    </row>
    <row r="29" spans="2:9" x14ac:dyDescent="0.35">
      <c r="B29" t="s">
        <v>48</v>
      </c>
      <c r="F29" t="s">
        <v>56</v>
      </c>
    </row>
    <row r="30" spans="2:9" x14ac:dyDescent="0.35">
      <c r="B30" t="s">
        <v>49</v>
      </c>
      <c r="F30" t="s">
        <v>56</v>
      </c>
    </row>
    <row r="31" spans="2:9" x14ac:dyDescent="0.35">
      <c r="B31" t="s">
        <v>50</v>
      </c>
      <c r="F31" t="s">
        <v>56</v>
      </c>
    </row>
    <row r="32" spans="2:9" x14ac:dyDescent="0.35">
      <c r="B32" t="s">
        <v>57</v>
      </c>
      <c r="F32" t="s">
        <v>56</v>
      </c>
    </row>
    <row r="33" spans="2:2" x14ac:dyDescent="0.35">
      <c r="B33" s="2"/>
    </row>
  </sheetData>
  <hyperlinks>
    <hyperlink ref="B23" location="Apretude!A1" display="Apretude" xr:uid="{7ECFD089-6947-474A-B3BB-76BF1899CFFA}"/>
    <hyperlink ref="B24" location="Lenacapavir!A1" display="Lenacapavir" xr:uid="{E2BC08DA-253A-46E9-9F0F-F0A291E59B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2016-F1D8-476C-BC55-7DB2A643A9AE}">
  <dimension ref="A1:P18"/>
  <sheetViews>
    <sheetView topLeftCell="D1" workbookViewId="0">
      <selection activeCell="P18" sqref="P18"/>
    </sheetView>
  </sheetViews>
  <sheetFormatPr defaultRowHeight="14.5" x14ac:dyDescent="0.35"/>
  <cols>
    <col min="1" max="1" width="5.08984375" bestFit="1" customWidth="1"/>
    <col min="14" max="16" width="8.7265625" style="1"/>
  </cols>
  <sheetData>
    <row r="1" spans="1:16" x14ac:dyDescent="0.35">
      <c r="A1" t="s">
        <v>41</v>
      </c>
      <c r="N1"/>
      <c r="O1"/>
      <c r="P1"/>
    </row>
    <row r="2" spans="1:16" x14ac:dyDescent="0.35">
      <c r="I2" t="s">
        <v>117</v>
      </c>
      <c r="J2" t="s">
        <v>116</v>
      </c>
      <c r="K2" t="s">
        <v>118</v>
      </c>
      <c r="N2">
        <v>2022</v>
      </c>
      <c r="O2">
        <f>N2+1</f>
        <v>2023</v>
      </c>
      <c r="P2">
        <f>O2+1</f>
        <v>2024</v>
      </c>
    </row>
    <row r="3" spans="1:16" x14ac:dyDescent="0.35">
      <c r="B3" t="s">
        <v>58</v>
      </c>
      <c r="N3" s="1">
        <v>26982</v>
      </c>
      <c r="O3" s="1">
        <v>26934</v>
      </c>
      <c r="P3" s="1">
        <v>28610</v>
      </c>
    </row>
    <row r="4" spans="1:16" x14ac:dyDescent="0.35">
      <c r="B4" t="s">
        <v>59</v>
      </c>
      <c r="N4" s="1">
        <v>299</v>
      </c>
      <c r="O4" s="1">
        <v>182</v>
      </c>
      <c r="P4" s="1">
        <v>144</v>
      </c>
    </row>
    <row r="5" spans="1:16" x14ac:dyDescent="0.35">
      <c r="B5" t="s">
        <v>60</v>
      </c>
      <c r="N5" s="1">
        <f>SUM(N3:N4)</f>
        <v>27281</v>
      </c>
      <c r="O5" s="1">
        <f>SUM(O3:O4)</f>
        <v>27116</v>
      </c>
      <c r="P5" s="1">
        <f>SUM(P3:P4)</f>
        <v>28754</v>
      </c>
    </row>
    <row r="6" spans="1:16" x14ac:dyDescent="0.35">
      <c r="B6" t="s">
        <v>61</v>
      </c>
      <c r="N6" s="1">
        <v>5657</v>
      </c>
      <c r="O6" s="1">
        <v>6498</v>
      </c>
      <c r="P6" s="1">
        <v>6251</v>
      </c>
    </row>
    <row r="7" spans="1:16" x14ac:dyDescent="0.35">
      <c r="B7" t="s">
        <v>62</v>
      </c>
      <c r="N7" s="1">
        <v>4977</v>
      </c>
      <c r="O7" s="1">
        <v>5718</v>
      </c>
      <c r="P7" s="1">
        <v>5907</v>
      </c>
    </row>
    <row r="8" spans="1:16" x14ac:dyDescent="0.35">
      <c r="B8" t="s">
        <v>63</v>
      </c>
      <c r="N8" s="1">
        <v>944</v>
      </c>
      <c r="O8" s="1">
        <v>1155</v>
      </c>
      <c r="P8" s="1">
        <v>4663</v>
      </c>
    </row>
    <row r="9" spans="1:16" x14ac:dyDescent="0.35">
      <c r="B9" t="s">
        <v>64</v>
      </c>
      <c r="N9" s="1">
        <v>2700</v>
      </c>
      <c r="O9" s="1">
        <v>50</v>
      </c>
      <c r="P9" s="1">
        <v>4180</v>
      </c>
    </row>
    <row r="10" spans="1:16" x14ac:dyDescent="0.35">
      <c r="B10" t="s">
        <v>65</v>
      </c>
      <c r="N10" s="1">
        <v>5673</v>
      </c>
      <c r="O10" s="1">
        <v>6090</v>
      </c>
      <c r="P10" s="1">
        <v>6091</v>
      </c>
    </row>
    <row r="11" spans="1:16" x14ac:dyDescent="0.35">
      <c r="B11" t="s">
        <v>66</v>
      </c>
      <c r="N11" s="1">
        <f t="shared" ref="N11:O11" si="0">N5-SUM(N6:N10)</f>
        <v>7330</v>
      </c>
      <c r="O11" s="1">
        <f t="shared" si="0"/>
        <v>7605</v>
      </c>
      <c r="P11" s="1">
        <f>P5-SUM(P6:P10)</f>
        <v>1662</v>
      </c>
    </row>
    <row r="12" spans="1:16" x14ac:dyDescent="0.35">
      <c r="B12" t="s">
        <v>67</v>
      </c>
      <c r="N12" s="1">
        <v>935</v>
      </c>
      <c r="O12" s="1">
        <v>944</v>
      </c>
      <c r="P12" s="1">
        <v>977</v>
      </c>
    </row>
    <row r="13" spans="1:16" x14ac:dyDescent="0.35">
      <c r="B13" t="s">
        <v>68</v>
      </c>
      <c r="N13" s="1">
        <v>581</v>
      </c>
      <c r="O13" s="1">
        <v>-198</v>
      </c>
      <c r="P13" s="1">
        <v>-6</v>
      </c>
    </row>
    <row r="14" spans="1:16" x14ac:dyDescent="0.35">
      <c r="B14" t="s">
        <v>69</v>
      </c>
      <c r="N14" s="1">
        <f>N11-N12-N13</f>
        <v>5814</v>
      </c>
      <c r="O14" s="1">
        <f t="shared" ref="O14:P14" si="1">O11-O12-O13</f>
        <v>6859</v>
      </c>
      <c r="P14" s="1">
        <f t="shared" si="1"/>
        <v>691</v>
      </c>
    </row>
    <row r="15" spans="1:16" x14ac:dyDescent="0.35">
      <c r="B15" t="s">
        <v>70</v>
      </c>
      <c r="N15" s="1">
        <v>1248</v>
      </c>
      <c r="O15" s="1">
        <v>1247</v>
      </c>
      <c r="P15" s="1">
        <v>211</v>
      </c>
    </row>
    <row r="16" spans="1:16" x14ac:dyDescent="0.35">
      <c r="B16" t="s">
        <v>71</v>
      </c>
      <c r="N16" s="1">
        <f>N14-N15</f>
        <v>4566</v>
      </c>
      <c r="O16" s="1">
        <f t="shared" ref="O16:P16" si="2">O14-O15</f>
        <v>5612</v>
      </c>
      <c r="P16" s="1">
        <f t="shared" si="2"/>
        <v>480</v>
      </c>
    </row>
    <row r="17" spans="2:16" x14ac:dyDescent="0.35">
      <c r="B17" t="s">
        <v>72</v>
      </c>
      <c r="N17" s="6">
        <v>1.262</v>
      </c>
      <c r="O17" s="6">
        <v>1.258</v>
      </c>
      <c r="P17" s="6">
        <v>1.2549999999999999</v>
      </c>
    </row>
    <row r="18" spans="2:16" x14ac:dyDescent="0.35">
      <c r="G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9DC5-1B06-4956-AF7A-8C6E4E8F15CD}">
  <dimension ref="A1:G9"/>
  <sheetViews>
    <sheetView workbookViewId="0"/>
  </sheetViews>
  <sheetFormatPr defaultRowHeight="14.5" x14ac:dyDescent="0.35"/>
  <cols>
    <col min="1" max="1" width="5.08984375" bestFit="1" customWidth="1"/>
    <col min="2" max="2" width="23.90625" bestFit="1" customWidth="1"/>
  </cols>
  <sheetData>
    <row r="1" spans="1:7" x14ac:dyDescent="0.35">
      <c r="A1" s="2" t="s">
        <v>41</v>
      </c>
    </row>
    <row r="2" spans="1:7" x14ac:dyDescent="0.35">
      <c r="B2" t="s">
        <v>36</v>
      </c>
      <c r="C2" t="s">
        <v>8</v>
      </c>
      <c r="D2" t="s">
        <v>10</v>
      </c>
      <c r="E2" t="s">
        <v>37</v>
      </c>
      <c r="F2" t="s">
        <v>38</v>
      </c>
      <c r="G2" t="s">
        <v>11</v>
      </c>
    </row>
    <row r="3" spans="1:7" x14ac:dyDescent="0.35">
      <c r="B3" t="s">
        <v>45</v>
      </c>
      <c r="C3" t="s">
        <v>47</v>
      </c>
    </row>
    <row r="4" spans="1:7" x14ac:dyDescent="0.35">
      <c r="B4" t="s">
        <v>46</v>
      </c>
      <c r="C4" t="s">
        <v>47</v>
      </c>
    </row>
    <row r="5" spans="1:7" x14ac:dyDescent="0.35">
      <c r="B5" t="s">
        <v>48</v>
      </c>
      <c r="C5" t="s">
        <v>53</v>
      </c>
    </row>
    <row r="6" spans="1:7" x14ac:dyDescent="0.35">
      <c r="B6" t="s">
        <v>49</v>
      </c>
      <c r="C6" t="s">
        <v>53</v>
      </c>
    </row>
    <row r="7" spans="1:7" x14ac:dyDescent="0.35">
      <c r="B7" t="s">
        <v>50</v>
      </c>
      <c r="C7" t="s">
        <v>53</v>
      </c>
    </row>
    <row r="8" spans="1:7" x14ac:dyDescent="0.35">
      <c r="B8" t="s">
        <v>51</v>
      </c>
      <c r="C8" t="s">
        <v>53</v>
      </c>
    </row>
    <row r="9" spans="1:7" x14ac:dyDescent="0.35">
      <c r="B9" t="s">
        <v>52</v>
      </c>
      <c r="C9" t="s">
        <v>53</v>
      </c>
    </row>
  </sheetData>
  <hyperlinks>
    <hyperlink ref="A1" location="Main!A1" display="Main" xr:uid="{AF70E3BC-2DCF-4C9D-A469-042E8068B4F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6188-EC87-49DA-BE85-A0938064D0C4}">
  <dimension ref="B2:F9"/>
  <sheetViews>
    <sheetView workbookViewId="0">
      <selection activeCell="D9" sqref="D9"/>
    </sheetView>
  </sheetViews>
  <sheetFormatPr defaultRowHeight="14.5" x14ac:dyDescent="0.35"/>
  <sheetData>
    <row r="2" spans="2:6" x14ac:dyDescent="0.35">
      <c r="B2" t="s">
        <v>6</v>
      </c>
      <c r="C2" t="s">
        <v>42</v>
      </c>
    </row>
    <row r="3" spans="2:6" x14ac:dyDescent="0.35">
      <c r="B3" t="s">
        <v>7</v>
      </c>
    </row>
    <row r="4" spans="2:6" x14ac:dyDescent="0.35">
      <c r="B4" t="s">
        <v>11</v>
      </c>
    </row>
    <row r="6" spans="2:6" x14ac:dyDescent="0.35">
      <c r="B6" t="s">
        <v>43</v>
      </c>
    </row>
    <row r="7" spans="2:6" x14ac:dyDescent="0.35">
      <c r="C7" s="3" t="s">
        <v>44</v>
      </c>
      <c r="D7" s="3"/>
      <c r="F7" s="2"/>
    </row>
    <row r="8" spans="2:6" x14ac:dyDescent="0.35">
      <c r="F8" s="2"/>
    </row>
    <row r="9" spans="2:6" x14ac:dyDescent="0.35">
      <c r="D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69C6-139A-4AF6-90FD-95045DBAA157}">
  <dimension ref="A1:C4"/>
  <sheetViews>
    <sheetView workbookViewId="0"/>
  </sheetViews>
  <sheetFormatPr defaultRowHeight="14.5" x14ac:dyDescent="0.35"/>
  <sheetData>
    <row r="1" spans="1:3" x14ac:dyDescent="0.35">
      <c r="A1" s="2" t="s">
        <v>41</v>
      </c>
    </row>
    <row r="2" spans="1:3" x14ac:dyDescent="0.35">
      <c r="B2" t="s">
        <v>6</v>
      </c>
      <c r="C2" t="s">
        <v>13</v>
      </c>
    </row>
    <row r="3" spans="1:3" x14ac:dyDescent="0.35">
      <c r="B3" t="s">
        <v>7</v>
      </c>
    </row>
    <row r="4" spans="1:3" x14ac:dyDescent="0.35">
      <c r="B4" t="s">
        <v>11</v>
      </c>
    </row>
  </sheetData>
  <hyperlinks>
    <hyperlink ref="A1" location="Main!A1" display="Main" xr:uid="{3D28CFE9-D765-4C0E-849A-27F9A0D6DB0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50FE-0360-4498-8D7A-E2F9C488D2E6}">
  <dimension ref="A1:G23"/>
  <sheetViews>
    <sheetView workbookViewId="0">
      <selection activeCell="C14" sqref="C14"/>
    </sheetView>
  </sheetViews>
  <sheetFormatPr defaultRowHeight="14.5" x14ac:dyDescent="0.35"/>
  <cols>
    <col min="1" max="1" width="5.08984375" bestFit="1" customWidth="1"/>
    <col min="3" max="3" width="13.1796875" customWidth="1"/>
    <col min="4" max="4" width="15" customWidth="1"/>
  </cols>
  <sheetData>
    <row r="1" spans="1:7" x14ac:dyDescent="0.35">
      <c r="A1" s="2" t="s">
        <v>41</v>
      </c>
    </row>
    <row r="2" spans="1:7" x14ac:dyDescent="0.35">
      <c r="B2" t="s">
        <v>6</v>
      </c>
    </row>
    <row r="3" spans="1:7" x14ac:dyDescent="0.35">
      <c r="B3" t="s">
        <v>7</v>
      </c>
      <c r="C3" t="s">
        <v>45</v>
      </c>
    </row>
    <row r="4" spans="1:7" x14ac:dyDescent="0.35">
      <c r="B4" t="s">
        <v>8</v>
      </c>
      <c r="C4" t="s">
        <v>74</v>
      </c>
    </row>
    <row r="5" spans="1:7" x14ac:dyDescent="0.35">
      <c r="B5" t="s">
        <v>38</v>
      </c>
      <c r="C5" t="s">
        <v>82</v>
      </c>
    </row>
    <row r="6" spans="1:7" x14ac:dyDescent="0.35">
      <c r="B6" t="s">
        <v>40</v>
      </c>
      <c r="C6" s="2" t="s">
        <v>83</v>
      </c>
    </row>
    <row r="7" spans="1:7" x14ac:dyDescent="0.35">
      <c r="B7" t="s">
        <v>75</v>
      </c>
    </row>
    <row r="8" spans="1:7" x14ac:dyDescent="0.35">
      <c r="B8" t="s">
        <v>43</v>
      </c>
    </row>
    <row r="10" spans="1:7" x14ac:dyDescent="0.35">
      <c r="C10" s="3" t="s">
        <v>104</v>
      </c>
      <c r="G10" t="s">
        <v>115</v>
      </c>
    </row>
    <row r="11" spans="1:7" x14ac:dyDescent="0.35">
      <c r="C11" t="s">
        <v>103</v>
      </c>
    </row>
    <row r="12" spans="1:7" x14ac:dyDescent="0.35">
      <c r="C12" t="s">
        <v>107</v>
      </c>
    </row>
    <row r="16" spans="1:7" x14ac:dyDescent="0.35">
      <c r="D16" s="8" t="s">
        <v>112</v>
      </c>
    </row>
    <row r="17" spans="3:7" x14ac:dyDescent="0.35">
      <c r="C17" s="8" t="s">
        <v>105</v>
      </c>
      <c r="D17" s="8"/>
      <c r="E17" s="8">
        <v>0.1</v>
      </c>
    </row>
    <row r="18" spans="3:7" x14ac:dyDescent="0.35">
      <c r="C18" t="s">
        <v>106</v>
      </c>
      <c r="E18">
        <v>0.93</v>
      </c>
    </row>
    <row r="19" spans="3:7" x14ac:dyDescent="0.35">
      <c r="D19" s="8" t="s">
        <v>113</v>
      </c>
      <c r="G19" t="s">
        <v>114</v>
      </c>
    </row>
    <row r="20" spans="3:7" x14ac:dyDescent="0.35">
      <c r="E20" t="s">
        <v>110</v>
      </c>
    </row>
    <row r="21" spans="3:7" x14ac:dyDescent="0.35">
      <c r="C21" s="8" t="s">
        <v>105</v>
      </c>
      <c r="D21" s="8"/>
      <c r="E21" s="8">
        <v>0.04</v>
      </c>
      <c r="F21" s="8" t="s">
        <v>109</v>
      </c>
    </row>
    <row r="22" spans="3:7" x14ac:dyDescent="0.35">
      <c r="C22" t="s">
        <v>106</v>
      </c>
      <c r="E22">
        <v>0.11</v>
      </c>
      <c r="F22" t="s">
        <v>108</v>
      </c>
    </row>
    <row r="23" spans="3:7" x14ac:dyDescent="0.35">
      <c r="C23" t="s">
        <v>111</v>
      </c>
      <c r="E23">
        <v>2.37</v>
      </c>
    </row>
  </sheetData>
  <hyperlinks>
    <hyperlink ref="A1" location="Main!A1" display="Main" xr:uid="{836A3684-0A0C-4A05-883D-1218EF9D11DE}"/>
    <hyperlink ref="C6" location="Apretude!A1" display="Apretude" xr:uid="{7DFD2C0A-4414-4DFC-AD0D-8051F0DDE9F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8206-C8CD-4989-81AC-B3CA90F9203C}">
  <dimension ref="A1:C12"/>
  <sheetViews>
    <sheetView workbookViewId="0">
      <selection activeCell="C14" sqref="C14"/>
    </sheetView>
  </sheetViews>
  <sheetFormatPr defaultRowHeight="14.5" x14ac:dyDescent="0.35"/>
  <sheetData>
    <row r="1" spans="1:3" x14ac:dyDescent="0.35">
      <c r="A1" s="2" t="s">
        <v>41</v>
      </c>
    </row>
    <row r="2" spans="1:3" x14ac:dyDescent="0.35">
      <c r="B2" t="s">
        <v>84</v>
      </c>
      <c r="C2" t="s">
        <v>83</v>
      </c>
    </row>
    <row r="3" spans="1:3" x14ac:dyDescent="0.35">
      <c r="B3" t="s">
        <v>7</v>
      </c>
      <c r="C3" t="s">
        <v>98</v>
      </c>
    </row>
    <row r="4" spans="1:3" x14ac:dyDescent="0.35">
      <c r="B4" t="s">
        <v>85</v>
      </c>
      <c r="C4" t="s">
        <v>97</v>
      </c>
    </row>
    <row r="5" spans="1:3" x14ac:dyDescent="0.35">
      <c r="B5" t="s">
        <v>86</v>
      </c>
      <c r="C5" t="s">
        <v>96</v>
      </c>
    </row>
    <row r="6" spans="1:3" x14ac:dyDescent="0.35">
      <c r="B6" t="s">
        <v>87</v>
      </c>
    </row>
    <row r="7" spans="1:3" x14ac:dyDescent="0.35">
      <c r="B7" t="s">
        <v>10</v>
      </c>
    </row>
    <row r="8" spans="1:3" x14ac:dyDescent="0.35">
      <c r="B8" t="s">
        <v>88</v>
      </c>
    </row>
    <row r="11" spans="1:3" x14ac:dyDescent="0.35">
      <c r="C11" s="3" t="s">
        <v>99</v>
      </c>
    </row>
    <row r="12" spans="1:3" x14ac:dyDescent="0.35">
      <c r="C12" t="s">
        <v>100</v>
      </c>
    </row>
  </sheetData>
  <hyperlinks>
    <hyperlink ref="A1" location="Main!A1" display="Main" xr:uid="{D0B4F300-B9C5-409E-8DA7-2D37F05C0E7D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6ECA4-3B5E-4897-AF1B-F85FFDD2571E}">
  <dimension ref="A1:B12"/>
  <sheetViews>
    <sheetView workbookViewId="0">
      <selection activeCell="D19" sqref="D19"/>
    </sheetView>
  </sheetViews>
  <sheetFormatPr defaultRowHeight="14.5" x14ac:dyDescent="0.35"/>
  <cols>
    <col min="1" max="1" width="5.90625" customWidth="1"/>
  </cols>
  <sheetData>
    <row r="1" spans="1:2" x14ac:dyDescent="0.35">
      <c r="A1" t="s">
        <v>41</v>
      </c>
    </row>
    <row r="3" spans="1:2" x14ac:dyDescent="0.35">
      <c r="B3" t="s">
        <v>102</v>
      </c>
    </row>
    <row r="4" spans="1:2" x14ac:dyDescent="0.35">
      <c r="B4" t="s">
        <v>93</v>
      </c>
    </row>
    <row r="7" spans="1:2" x14ac:dyDescent="0.35">
      <c r="B7" s="7" t="s">
        <v>91</v>
      </c>
    </row>
    <row r="8" spans="1:2" x14ac:dyDescent="0.35">
      <c r="B8" t="s">
        <v>90</v>
      </c>
    </row>
    <row r="9" spans="1:2" x14ac:dyDescent="0.35">
      <c r="B9" t="s">
        <v>92</v>
      </c>
    </row>
    <row r="11" spans="1:2" x14ac:dyDescent="0.35">
      <c r="B11" t="s">
        <v>94</v>
      </c>
    </row>
    <row r="12" spans="1:2" x14ac:dyDescent="0.35">
      <c r="B1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Model</vt:lpstr>
      <vt:lpstr>candidates</vt:lpstr>
      <vt:lpstr>Genvoya</vt:lpstr>
      <vt:lpstr>Biktarvy</vt:lpstr>
      <vt:lpstr>Lenacapavir</vt:lpstr>
      <vt:lpstr>Apretude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2025-05-16T22:22:05Z</dcterms:modified>
</cp:coreProperties>
</file>