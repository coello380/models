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E6507429-B9A6-4D65-A580-B1D4E2589629}" xr6:coauthVersionLast="47" xr6:coauthVersionMax="47" xr10:uidLastSave="{00000000-0000-0000-0000-000000000000}"/>
  <bookViews>
    <workbookView xWindow="21320" yWindow="2910" windowWidth="11180" windowHeight="14520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9" i="1"/>
  <c r="I8" i="1"/>
  <c r="I6" i="1" l="1"/>
</calcChain>
</file>

<file path=xl/sharedStrings.xml><?xml version="1.0" encoding="utf-8"?>
<sst xmlns="http://schemas.openxmlformats.org/spreadsheetml/2006/main" count="82" uniqueCount="72">
  <si>
    <t>Price</t>
  </si>
  <si>
    <t>Shares</t>
  </si>
  <si>
    <t>MC</t>
  </si>
  <si>
    <t>Cash</t>
  </si>
  <si>
    <t>Debt</t>
  </si>
  <si>
    <t>EV</t>
  </si>
  <si>
    <t>Q42025</t>
  </si>
  <si>
    <t>tot assets</t>
  </si>
  <si>
    <t>debt to assets</t>
  </si>
  <si>
    <t>Revenue</t>
  </si>
  <si>
    <t>COGS</t>
  </si>
  <si>
    <t>Gross Profit</t>
  </si>
  <si>
    <t>SG&amp;A Expense</t>
  </si>
  <si>
    <t>R&amp;D Expense</t>
  </si>
  <si>
    <t>Operating Expenses</t>
  </si>
  <si>
    <t>Operating Income</t>
  </si>
  <si>
    <t>Other Income</t>
  </si>
  <si>
    <t>Pretax Income</t>
  </si>
  <si>
    <t>Income Taxes</t>
  </si>
  <si>
    <t>Net Income</t>
  </si>
  <si>
    <t>Gross Profit Margin</t>
  </si>
  <si>
    <t>Operating Profit Margin</t>
  </si>
  <si>
    <t>Net Profit Margin</t>
  </si>
  <si>
    <t>R&amp;D as % of Revenue</t>
  </si>
  <si>
    <t>SG&amp;A as % of Revenue</t>
  </si>
  <si>
    <t>Revenue Y/Y Growth</t>
  </si>
  <si>
    <t>FY 2018</t>
  </si>
  <si>
    <t>FY 2019</t>
  </si>
  <si>
    <t>FY 2020</t>
  </si>
  <si>
    <t>FY 2021</t>
  </si>
  <si>
    <t>FY 2022</t>
  </si>
  <si>
    <t>FY 2023</t>
  </si>
  <si>
    <t>FY 2024</t>
  </si>
  <si>
    <t>12.72%</t>
  </si>
  <si>
    <t>11.84%</t>
  </si>
  <si>
    <t>12.47%</t>
  </si>
  <si>
    <t>13.87%</t>
  </si>
  <si>
    <t>12.51%</t>
  </si>
  <si>
    <t>4.98%</t>
  </si>
  <si>
    <t>6.80%</t>
  </si>
  <si>
    <t>7.41%</t>
  </si>
  <si>
    <t>6.53%</t>
  </si>
  <si>
    <t>6.97%</t>
  </si>
  <si>
    <t>9.34%</t>
  </si>
  <si>
    <t>8.28%</t>
  </si>
  <si>
    <t>-0.75%</t>
  </si>
  <si>
    <t>2.64%</t>
  </si>
  <si>
    <t>7.42%</t>
  </si>
  <si>
    <t>4.70%</t>
  </si>
  <si>
    <t>4.80%</t>
  </si>
  <si>
    <t>6.50%</t>
  </si>
  <si>
    <t>6.10%</t>
  </si>
  <si>
    <t>-1.23%</t>
  </si>
  <si>
    <t>1.54%</t>
  </si>
  <si>
    <t>N/A</t>
  </si>
  <si>
    <t>5.31%</t>
  </si>
  <si>
    <t>5.50%</t>
  </si>
  <si>
    <t>4.53%</t>
  </si>
  <si>
    <t>4.24%</t>
  </si>
  <si>
    <t>4.25%</t>
  </si>
  <si>
    <t>4.16%</t>
  </si>
  <si>
    <t>4.68%</t>
  </si>
  <si>
    <t>5.87%</t>
  </si>
  <si>
    <t>1.84%</t>
  </si>
  <si>
    <t>8.95%</t>
  </si>
  <si>
    <t>13.25%</t>
  </si>
  <si>
    <t>0.81%</t>
  </si>
  <si>
    <t>pe</t>
  </si>
  <si>
    <t>debt to cash</t>
  </si>
  <si>
    <t>Balance sheet</t>
  </si>
  <si>
    <t>PP&amp;E</t>
  </si>
  <si>
    <t>Noncurrent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</si>
</sst>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0" borderId="0" xfId="0" applyFont="1"/>
    <xf numFmtId="0" fontId="2" fillId="0" borderId="0" xfId="0" applyFon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4:J14"/>
  <sheetViews>
    <sheetView workbookViewId="0">
      <selection activeCell="I14" sqref="I14"/>
    </sheetView>
  </sheetViews>
  <sheetFormatPr defaultRowHeight="14.5" x14ac:dyDescent="0.35"/>
  <sheetData>
    <row r="4" spans="8:10" x14ac:dyDescent="0.35">
      <c r="H4" t="s">
        <v>0</v>
      </c>
      <c r="I4">
        <v>55.94</v>
      </c>
    </row>
    <row r="5" spans="8:10" x14ac:dyDescent="0.35">
      <c r="H5" t="s">
        <v>1</v>
      </c>
      <c r="I5">
        <v>355.8</v>
      </c>
    </row>
    <row r="6" spans="8:10" x14ac:dyDescent="0.35">
      <c r="H6" t="s">
        <v>2</v>
      </c>
      <c r="I6" s="1">
        <f>I5*I4</f>
        <v>19903.452000000001</v>
      </c>
    </row>
    <row r="7" spans="8:10" x14ac:dyDescent="0.35">
      <c r="H7" t="s">
        <v>3</v>
      </c>
      <c r="I7" s="1">
        <v>1717</v>
      </c>
      <c r="J7" t="s">
        <v>6</v>
      </c>
    </row>
    <row r="8" spans="8:10" x14ac:dyDescent="0.35">
      <c r="H8" t="s">
        <v>4</v>
      </c>
      <c r="I8" s="1">
        <f>74+9713</f>
        <v>9787</v>
      </c>
      <c r="J8" t="s">
        <v>6</v>
      </c>
    </row>
    <row r="9" spans="8:10" x14ac:dyDescent="0.35">
      <c r="H9" t="s">
        <v>5</v>
      </c>
      <c r="I9" s="1">
        <f>I6+I8-I7</f>
        <v>27973.452000000001</v>
      </c>
      <c r="J9" t="s">
        <v>6</v>
      </c>
    </row>
    <row r="11" spans="8:10" x14ac:dyDescent="0.35">
      <c r="H11" t="s">
        <v>7</v>
      </c>
      <c r="I11" s="1">
        <v>37100</v>
      </c>
    </row>
    <row r="12" spans="8:10" x14ac:dyDescent="0.35">
      <c r="H12" t="s">
        <v>8</v>
      </c>
      <c r="I12">
        <f>I8/I11</f>
        <v>0.26380053908355794</v>
      </c>
    </row>
    <row r="13" spans="8:10" x14ac:dyDescent="0.35">
      <c r="H13" t="s">
        <v>67</v>
      </c>
      <c r="I13">
        <f>I6/model!M12</f>
        <v>24.213445255474454</v>
      </c>
    </row>
    <row r="14" spans="8:10" x14ac:dyDescent="0.35">
      <c r="H14" t="s">
        <v>68</v>
      </c>
      <c r="I14">
        <f>I8/I7</f>
        <v>5.7000582411182297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13506-CAC5-4631-A2D6-CABF99D47B52}">
  <dimension ref="A1:M24"/>
  <sheetViews>
    <sheetView tabSelected="1" workbookViewId="0">
      <pane xSplit="1" ySplit="1" topLeftCell="F5" activePane="bottomRight" state="frozen"/>
      <selection pane="topRight" activeCell="B1" sqref="B1"/>
      <selection pane="bottomLeft" activeCell="A2" sqref="A2"/>
      <selection pane="bottomRight" activeCell="G23" sqref="G23"/>
    </sheetView>
  </sheetViews>
  <sheetFormatPr defaultRowHeight="14.5" x14ac:dyDescent="0.35"/>
  <cols>
    <col min="1" max="1" width="20.1796875" bestFit="1" customWidth="1"/>
    <col min="7" max="13" width="8.90625" bestFit="1" customWidth="1"/>
  </cols>
  <sheetData>
    <row r="1" spans="1:13" x14ac:dyDescent="0.35">
      <c r="G1" s="3" t="s">
        <v>26</v>
      </c>
      <c r="H1" s="3" t="s">
        <v>27</v>
      </c>
      <c r="I1" s="3" t="s">
        <v>28</v>
      </c>
      <c r="J1" s="3" t="s">
        <v>29</v>
      </c>
      <c r="K1" s="3" t="s">
        <v>30</v>
      </c>
      <c r="L1" s="3" t="s">
        <v>31</v>
      </c>
      <c r="M1" s="3" t="s">
        <v>32</v>
      </c>
    </row>
    <row r="2" spans="1:13" x14ac:dyDescent="0.35">
      <c r="A2" s="4" t="s">
        <v>9</v>
      </c>
      <c r="G2" s="2">
        <v>40052</v>
      </c>
      <c r="H2" s="2">
        <v>42405</v>
      </c>
      <c r="I2" s="2">
        <v>43185</v>
      </c>
      <c r="J2" s="2">
        <v>47049</v>
      </c>
      <c r="K2" s="2">
        <v>53282</v>
      </c>
      <c r="L2" s="2">
        <v>52881</v>
      </c>
      <c r="M2" s="2">
        <v>53309</v>
      </c>
    </row>
    <row r="3" spans="1:13" x14ac:dyDescent="0.35">
      <c r="A3" s="3" t="s">
        <v>10</v>
      </c>
      <c r="G3" s="5">
        <v>34956</v>
      </c>
      <c r="H3" s="5">
        <v>37383</v>
      </c>
      <c r="I3" s="5">
        <v>37801</v>
      </c>
      <c r="J3" s="5">
        <v>40523</v>
      </c>
      <c r="K3" s="5">
        <v>46614</v>
      </c>
      <c r="L3" s="5">
        <v>50250</v>
      </c>
      <c r="M3" s="5">
        <v>49682</v>
      </c>
    </row>
    <row r="4" spans="1:13" x14ac:dyDescent="0.35">
      <c r="A4" s="3" t="s">
        <v>11</v>
      </c>
      <c r="G4" s="5">
        <v>5096</v>
      </c>
      <c r="H4" s="5">
        <v>5022</v>
      </c>
      <c r="I4" s="5">
        <v>5384</v>
      </c>
      <c r="J4" s="5">
        <v>6526</v>
      </c>
      <c r="K4" s="5">
        <v>6668</v>
      </c>
      <c r="L4" s="5">
        <v>2631</v>
      </c>
      <c r="M4" s="5">
        <v>3627</v>
      </c>
    </row>
    <row r="5" spans="1:13" x14ac:dyDescent="0.35">
      <c r="A5" s="3" t="s">
        <v>12</v>
      </c>
      <c r="G5" s="5">
        <v>2127</v>
      </c>
      <c r="H5" s="5">
        <v>2252</v>
      </c>
      <c r="I5" s="5">
        <v>2376</v>
      </c>
      <c r="J5" s="5">
        <v>2130</v>
      </c>
      <c r="K5" s="5">
        <v>2258</v>
      </c>
      <c r="L5" s="5">
        <v>2245</v>
      </c>
      <c r="M5" s="5">
        <v>2218</v>
      </c>
    </row>
    <row r="6" spans="1:13" x14ac:dyDescent="0.35">
      <c r="A6" s="3" t="s">
        <v>13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</row>
    <row r="7" spans="1:13" x14ac:dyDescent="0.35">
      <c r="A7" s="3" t="s">
        <v>14</v>
      </c>
      <c r="G7" s="5">
        <v>2127</v>
      </c>
      <c r="H7" s="5">
        <v>2252</v>
      </c>
      <c r="I7" s="5">
        <v>2376</v>
      </c>
      <c r="J7" s="5">
        <v>2130</v>
      </c>
      <c r="K7" s="5">
        <v>2258</v>
      </c>
      <c r="L7" s="5">
        <v>3026</v>
      </c>
      <c r="M7" s="5">
        <v>2218</v>
      </c>
    </row>
    <row r="8" spans="1:13" x14ac:dyDescent="0.35">
      <c r="A8" s="4" t="s">
        <v>15</v>
      </c>
      <c r="G8" s="2">
        <v>2969</v>
      </c>
      <c r="H8" s="2">
        <v>2770</v>
      </c>
      <c r="I8" s="2">
        <v>3008</v>
      </c>
      <c r="J8" s="2">
        <v>4396</v>
      </c>
      <c r="K8" s="2">
        <v>4410</v>
      </c>
      <c r="L8" s="2">
        <v>-395</v>
      </c>
      <c r="M8" s="2">
        <v>1409</v>
      </c>
    </row>
    <row r="9" spans="1:13" x14ac:dyDescent="0.35">
      <c r="A9" s="3" t="s">
        <v>16</v>
      </c>
      <c r="G9" s="5">
        <v>-287</v>
      </c>
      <c r="H9" s="5">
        <v>-396</v>
      </c>
      <c r="I9" s="5">
        <v>-344</v>
      </c>
      <c r="J9" s="5">
        <v>-355</v>
      </c>
      <c r="K9" s="5">
        <v>-261</v>
      </c>
      <c r="L9" s="5">
        <v>-283</v>
      </c>
      <c r="M9" s="5">
        <v>-317</v>
      </c>
    </row>
    <row r="10" spans="1:13" x14ac:dyDescent="0.35">
      <c r="A10" s="3" t="s">
        <v>17</v>
      </c>
      <c r="G10" s="5">
        <v>2682</v>
      </c>
      <c r="H10" s="5">
        <v>2374</v>
      </c>
      <c r="I10" s="5">
        <v>2664</v>
      </c>
      <c r="J10" s="5">
        <v>4041</v>
      </c>
      <c r="K10" s="5">
        <v>4149</v>
      </c>
      <c r="L10" s="5">
        <v>-678</v>
      </c>
      <c r="M10" s="5">
        <v>1092</v>
      </c>
    </row>
    <row r="11" spans="1:13" x14ac:dyDescent="0.35">
      <c r="A11" s="3" t="s">
        <v>18</v>
      </c>
      <c r="G11" s="5">
        <v>-291</v>
      </c>
      <c r="H11" s="5">
        <v>381</v>
      </c>
      <c r="I11" s="5">
        <v>593</v>
      </c>
      <c r="J11" s="5">
        <v>981</v>
      </c>
      <c r="K11" s="5">
        <v>900</v>
      </c>
      <c r="L11" s="5">
        <v>-29</v>
      </c>
      <c r="M11" s="5">
        <v>270</v>
      </c>
    </row>
    <row r="12" spans="1:13" x14ac:dyDescent="0.35">
      <c r="A12" s="4" t="s">
        <v>19</v>
      </c>
      <c r="G12" s="2">
        <v>2973</v>
      </c>
      <c r="H12" s="2">
        <v>1993</v>
      </c>
      <c r="I12" s="2">
        <v>2071</v>
      </c>
      <c r="J12" s="2">
        <v>3060</v>
      </c>
      <c r="K12" s="2">
        <v>3249</v>
      </c>
      <c r="L12" s="2">
        <v>-649</v>
      </c>
      <c r="M12" s="2">
        <v>822</v>
      </c>
    </row>
    <row r="13" spans="1:13" x14ac:dyDescent="0.35">
      <c r="A13" s="3" t="s">
        <v>20</v>
      </c>
      <c r="G13" s="3" t="s">
        <v>33</v>
      </c>
      <c r="H13" s="3" t="s">
        <v>34</v>
      </c>
      <c r="I13" s="3" t="s">
        <v>35</v>
      </c>
      <c r="J13" s="3" t="s">
        <v>36</v>
      </c>
      <c r="K13" s="3" t="s">
        <v>37</v>
      </c>
      <c r="L13" s="3" t="s">
        <v>38</v>
      </c>
      <c r="M13" s="3" t="s">
        <v>39</v>
      </c>
    </row>
    <row r="14" spans="1:13" x14ac:dyDescent="0.35">
      <c r="A14" s="3" t="s">
        <v>21</v>
      </c>
      <c r="G14" s="3" t="s">
        <v>40</v>
      </c>
      <c r="H14" s="3" t="s">
        <v>41</v>
      </c>
      <c r="I14" s="3" t="s">
        <v>42</v>
      </c>
      <c r="J14" s="3" t="s">
        <v>43</v>
      </c>
      <c r="K14" s="3" t="s">
        <v>44</v>
      </c>
      <c r="L14" s="3" t="s">
        <v>45</v>
      </c>
      <c r="M14" s="3" t="s">
        <v>46</v>
      </c>
    </row>
    <row r="15" spans="1:13" x14ac:dyDescent="0.35">
      <c r="A15" s="3" t="s">
        <v>22</v>
      </c>
      <c r="G15" s="3" t="s">
        <v>47</v>
      </c>
      <c r="H15" s="3" t="s">
        <v>48</v>
      </c>
      <c r="I15" s="3" t="s">
        <v>49</v>
      </c>
      <c r="J15" s="3" t="s">
        <v>50</v>
      </c>
      <c r="K15" s="3" t="s">
        <v>51</v>
      </c>
      <c r="L15" s="3" t="s">
        <v>52</v>
      </c>
      <c r="M15" s="3" t="s">
        <v>53</v>
      </c>
    </row>
    <row r="16" spans="1:13" x14ac:dyDescent="0.35">
      <c r="A16" s="3" t="s">
        <v>23</v>
      </c>
      <c r="G16" s="3" t="s">
        <v>54</v>
      </c>
      <c r="H16" s="3" t="s">
        <v>54</v>
      </c>
      <c r="I16" s="3" t="s">
        <v>54</v>
      </c>
      <c r="J16" s="3" t="s">
        <v>54</v>
      </c>
      <c r="K16" s="3" t="s">
        <v>54</v>
      </c>
      <c r="L16" s="3" t="s">
        <v>54</v>
      </c>
      <c r="M16" s="3" t="s">
        <v>54</v>
      </c>
    </row>
    <row r="17" spans="1:13" x14ac:dyDescent="0.35">
      <c r="A17" s="3" t="s">
        <v>24</v>
      </c>
      <c r="G17" s="3" t="s">
        <v>55</v>
      </c>
      <c r="H17" s="3" t="s">
        <v>55</v>
      </c>
      <c r="I17" s="3" t="s">
        <v>56</v>
      </c>
      <c r="J17" s="3" t="s">
        <v>57</v>
      </c>
      <c r="K17" s="3" t="s">
        <v>58</v>
      </c>
      <c r="L17" s="3" t="s">
        <v>59</v>
      </c>
      <c r="M17" s="3" t="s">
        <v>60</v>
      </c>
    </row>
    <row r="18" spans="1:13" x14ac:dyDescent="0.35">
      <c r="A18" s="3" t="s">
        <v>25</v>
      </c>
      <c r="G18" s="3" t="s">
        <v>61</v>
      </c>
      <c r="H18" s="3" t="s">
        <v>62</v>
      </c>
      <c r="I18" s="3" t="s">
        <v>63</v>
      </c>
      <c r="J18" s="3" t="s">
        <v>64</v>
      </c>
      <c r="K18" s="3" t="s">
        <v>65</v>
      </c>
      <c r="L18" s="3" t="s">
        <v>45</v>
      </c>
      <c r="M18" s="3" t="s">
        <v>66</v>
      </c>
    </row>
    <row r="21" spans="1:13" x14ac:dyDescent="0.35">
      <c r="A21" s="3" t="s">
        <v>69</v>
      </c>
    </row>
    <row r="23" spans="1:13" x14ac:dyDescent="0.35">
      <c r="A23" t="s">
        <v>70</v>
      </c>
      <c r="F23">
        <v>9442</v>
      </c>
    </row>
    <row r="24" spans="1:13" x14ac:dyDescent="0.35">
      <c r="A24" t="s">
        <v>71</v>
      </c>
      <c r="F24">
        <v>17907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2025-05-19T20:44:22Z</dcterms:modified>
</cp:coreProperties>
</file>