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E2C18729-FF25-4561-9A57-680A0377FFA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C19" i="2"/>
  <c r="D20" i="2"/>
  <c r="D5" i="2"/>
  <c r="D10" i="2" s="1"/>
  <c r="D13" i="2" s="1"/>
  <c r="D15" i="2" s="1"/>
  <c r="C5" i="2"/>
  <c r="C10" i="2" s="1"/>
  <c r="C13" i="2" s="1"/>
  <c r="C15" i="2" s="1"/>
  <c r="P7" i="1"/>
  <c r="O7" i="1"/>
  <c r="N7" i="1"/>
  <c r="Q3" i="1"/>
  <c r="J7" i="1"/>
  <c r="J6" i="1"/>
  <c r="J4" i="1"/>
  <c r="D21" i="2" l="1"/>
</calcChain>
</file>

<file path=xl/sharedStrings.xml><?xml version="1.0" encoding="utf-8"?>
<sst xmlns="http://schemas.openxmlformats.org/spreadsheetml/2006/main" count="85" uniqueCount="80">
  <si>
    <t>Price</t>
  </si>
  <si>
    <t>Shares</t>
  </si>
  <si>
    <t>MC</t>
  </si>
  <si>
    <t>Cash</t>
  </si>
  <si>
    <t>Debt</t>
  </si>
  <si>
    <t>EV</t>
  </si>
  <si>
    <t>CHF</t>
  </si>
  <si>
    <t>Q225</t>
  </si>
  <si>
    <t>Name</t>
  </si>
  <si>
    <t>Indication</t>
  </si>
  <si>
    <t>MOA</t>
  </si>
  <si>
    <t>Economics</t>
  </si>
  <si>
    <t>Approved</t>
  </si>
  <si>
    <t>Phase</t>
  </si>
  <si>
    <t>Competition</t>
  </si>
  <si>
    <t>Sales</t>
  </si>
  <si>
    <t>Core operating profit</t>
  </si>
  <si>
    <t>Operating profits</t>
  </si>
  <si>
    <t>Operating Free cash flow</t>
  </si>
  <si>
    <t>Pharma</t>
  </si>
  <si>
    <t>Diagnostics</t>
  </si>
  <si>
    <t>Corporate</t>
  </si>
  <si>
    <t>Group</t>
  </si>
  <si>
    <t>Share</t>
  </si>
  <si>
    <t>1H24</t>
  </si>
  <si>
    <t>1H25</t>
  </si>
  <si>
    <t>Other revenue</t>
  </si>
  <si>
    <t>Revenue</t>
  </si>
  <si>
    <t>COGS</t>
  </si>
  <si>
    <t>R&amp;D</t>
  </si>
  <si>
    <t>SG&amp;A</t>
  </si>
  <si>
    <t>Other operaing income (expense)</t>
  </si>
  <si>
    <t>Operating profit</t>
  </si>
  <si>
    <t>Financing costs</t>
  </si>
  <si>
    <t>Other financial income (expense)</t>
  </si>
  <si>
    <t>Profit before taxes</t>
  </si>
  <si>
    <t>Income taxes</t>
  </si>
  <si>
    <t>Net income</t>
  </si>
  <si>
    <t>Main</t>
  </si>
  <si>
    <t>net income y/y</t>
  </si>
  <si>
    <t>revenue y/y</t>
  </si>
  <si>
    <t>gross margin</t>
  </si>
  <si>
    <t>Vabysmo</t>
  </si>
  <si>
    <t>eye diseases</t>
  </si>
  <si>
    <t>Phesgo</t>
  </si>
  <si>
    <t>breast cancer</t>
  </si>
  <si>
    <t>Ocrevus</t>
  </si>
  <si>
    <t>multiple sclerosis</t>
  </si>
  <si>
    <t>Hemlibra</t>
  </si>
  <si>
    <t>haemophilia A</t>
  </si>
  <si>
    <t>Avastin</t>
  </si>
  <si>
    <t>various cancers</t>
  </si>
  <si>
    <t>Heceptin</t>
  </si>
  <si>
    <t>breast and gastric cancer</t>
  </si>
  <si>
    <t>MabThera/Rituxan</t>
  </si>
  <si>
    <t>blood cancer, rheumatoid athritis</t>
  </si>
  <si>
    <t>Esbriet</t>
  </si>
  <si>
    <t>lung cancer</t>
  </si>
  <si>
    <t>Lucentis</t>
  </si>
  <si>
    <t>severe eye diseases</t>
  </si>
  <si>
    <t>Actemra/RoActemra</t>
  </si>
  <si>
    <t>rheumatoid, athritis, COVID-19</t>
  </si>
  <si>
    <t>Ronapreve</t>
  </si>
  <si>
    <t>COVID-19</t>
  </si>
  <si>
    <t>Xolair</t>
  </si>
  <si>
    <t>alergies</t>
  </si>
  <si>
    <t>Polivy</t>
  </si>
  <si>
    <t>blood cancer</t>
  </si>
  <si>
    <t>Evrysdi</t>
  </si>
  <si>
    <t>spinal muscular atrophy</t>
  </si>
  <si>
    <t>Perjeta</t>
  </si>
  <si>
    <t>Alecensa</t>
  </si>
  <si>
    <t>Xofluza</t>
  </si>
  <si>
    <t>influenza</t>
  </si>
  <si>
    <t>Tecentriq</t>
  </si>
  <si>
    <t>Kadcyla</t>
  </si>
  <si>
    <t>oncology</t>
  </si>
  <si>
    <t>Partening deals in 2024</t>
  </si>
  <si>
    <t>Acquired Regor Pharmaceuticals' CDK1 Program]</t>
  </si>
  <si>
    <t>Acquired AntlerA Therapeutis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</si>
</sst>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9" fontId="0" fillId="0" borderId="0" xfId="0" applyNumberFormat="1"/>
    <xf numFmtId="0" fontId="1" fillId="0" borderId="0" xfId="0" applyFont="1"/>
    <xf numFmtId="9" fontId="1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3"/>
  <sheetViews>
    <sheetView tabSelected="1" workbookViewId="0">
      <selection activeCell="D25" sqref="D25"/>
    </sheetView>
  </sheetViews>
  <sheetFormatPr defaultRowHeight="14.5" x14ac:dyDescent="0.35"/>
  <cols>
    <col min="2" max="2" width="8.453125" bestFit="1" customWidth="1"/>
    <col min="3" max="3" width="28.90625" bestFit="1" customWidth="1"/>
    <col min="5" max="5" width="11.08984375" bestFit="1" customWidth="1"/>
    <col min="10" max="10" width="13.36328125" bestFit="1" customWidth="1"/>
  </cols>
  <sheetData>
    <row r="2" spans="2:17" x14ac:dyDescent="0.35"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I2" t="s">
        <v>0</v>
      </c>
      <c r="J2">
        <v>261</v>
      </c>
      <c r="K2" t="s">
        <v>6</v>
      </c>
      <c r="N2" t="s">
        <v>19</v>
      </c>
      <c r="O2" t="s">
        <v>20</v>
      </c>
      <c r="P2" t="s">
        <v>21</v>
      </c>
      <c r="Q2" t="s">
        <v>22</v>
      </c>
    </row>
    <row r="3" spans="2:17" x14ac:dyDescent="0.35">
      <c r="B3" t="s">
        <v>42</v>
      </c>
      <c r="C3" t="s">
        <v>43</v>
      </c>
      <c r="F3">
        <v>2022</v>
      </c>
      <c r="I3" t="s">
        <v>1</v>
      </c>
      <c r="J3">
        <v>808</v>
      </c>
      <c r="M3" t="s">
        <v>15</v>
      </c>
      <c r="N3" s="1">
        <v>23985</v>
      </c>
      <c r="O3" s="1">
        <v>6959</v>
      </c>
      <c r="P3" s="1">
        <v>0</v>
      </c>
      <c r="Q3" s="1">
        <f>SUM(N3:P3)</f>
        <v>30944</v>
      </c>
    </row>
    <row r="4" spans="2:17" x14ac:dyDescent="0.35">
      <c r="B4" t="s">
        <v>44</v>
      </c>
      <c r="C4" t="s">
        <v>45</v>
      </c>
      <c r="I4" t="s">
        <v>2</v>
      </c>
      <c r="J4" s="1">
        <f>J3*J2</f>
        <v>210888</v>
      </c>
      <c r="M4" t="s">
        <v>16</v>
      </c>
      <c r="N4" s="1">
        <v>12522</v>
      </c>
      <c r="O4" s="1">
        <v>1250</v>
      </c>
      <c r="P4" s="1">
        <v>0</v>
      </c>
      <c r="Q4" s="1"/>
    </row>
    <row r="5" spans="2:17" x14ac:dyDescent="0.35">
      <c r="B5" t="s">
        <v>46</v>
      </c>
      <c r="C5" t="s">
        <v>47</v>
      </c>
      <c r="I5" t="s">
        <v>3</v>
      </c>
      <c r="J5" s="1">
        <v>7554</v>
      </c>
      <c r="K5" t="s">
        <v>7</v>
      </c>
      <c r="M5" t="s">
        <v>17</v>
      </c>
      <c r="N5" s="1">
        <v>11632</v>
      </c>
      <c r="O5" s="1">
        <v>717</v>
      </c>
      <c r="P5" s="1">
        <v>0</v>
      </c>
      <c r="Q5" s="1"/>
    </row>
    <row r="6" spans="2:17" x14ac:dyDescent="0.35">
      <c r="B6" t="s">
        <v>48</v>
      </c>
      <c r="C6" t="s">
        <v>49</v>
      </c>
      <c r="I6" t="s">
        <v>4</v>
      </c>
      <c r="J6" s="1">
        <f>26464+6567</f>
        <v>33031</v>
      </c>
      <c r="K6" t="s">
        <v>7</v>
      </c>
      <c r="M6" t="s">
        <v>18</v>
      </c>
      <c r="N6" s="1">
        <v>8533</v>
      </c>
      <c r="O6" s="1">
        <v>-232</v>
      </c>
      <c r="P6" s="1">
        <v>0</v>
      </c>
      <c r="Q6" s="1"/>
    </row>
    <row r="7" spans="2:17" x14ac:dyDescent="0.35">
      <c r="B7" t="s">
        <v>50</v>
      </c>
      <c r="C7" t="s">
        <v>51</v>
      </c>
      <c r="I7" t="s">
        <v>5</v>
      </c>
      <c r="J7" s="1">
        <f>J4-J5+J6</f>
        <v>236365</v>
      </c>
      <c r="M7" s="3" t="s">
        <v>23</v>
      </c>
      <c r="N7" s="4">
        <f>N3/$Q$3</f>
        <v>0.77510987590486036</v>
      </c>
      <c r="O7" s="4">
        <f t="shared" ref="O7:P7" si="0">O3/$Q$3</f>
        <v>0.22489012409513962</v>
      </c>
      <c r="P7" s="4">
        <f t="shared" si="0"/>
        <v>0</v>
      </c>
    </row>
    <row r="8" spans="2:17" x14ac:dyDescent="0.35">
      <c r="B8" t="s">
        <v>52</v>
      </c>
      <c r="C8" t="s">
        <v>53</v>
      </c>
    </row>
    <row r="9" spans="2:17" x14ac:dyDescent="0.35">
      <c r="B9" t="s">
        <v>54</v>
      </c>
      <c r="C9" t="s">
        <v>55</v>
      </c>
    </row>
    <row r="10" spans="2:17" x14ac:dyDescent="0.35">
      <c r="B10" t="s">
        <v>56</v>
      </c>
      <c r="C10" t="s">
        <v>57</v>
      </c>
    </row>
    <row r="11" spans="2:17" x14ac:dyDescent="0.35">
      <c r="B11" t="s">
        <v>58</v>
      </c>
      <c r="C11" t="s">
        <v>59</v>
      </c>
      <c r="I11" t="s">
        <v>77</v>
      </c>
    </row>
    <row r="12" spans="2:17" x14ac:dyDescent="0.35">
      <c r="B12" t="s">
        <v>60</v>
      </c>
      <c r="C12" t="s">
        <v>61</v>
      </c>
      <c r="I12" t="s">
        <v>78</v>
      </c>
    </row>
    <row r="13" spans="2:17" x14ac:dyDescent="0.35">
      <c r="B13" t="s">
        <v>62</v>
      </c>
      <c r="C13" t="s">
        <v>63</v>
      </c>
    </row>
    <row r="14" spans="2:17" x14ac:dyDescent="0.35">
      <c r="B14" t="s">
        <v>64</v>
      </c>
      <c r="C14" t="s">
        <v>65</v>
      </c>
      <c r="I14" t="s">
        <v>79</v>
      </c>
    </row>
    <row r="15" spans="2:17" x14ac:dyDescent="0.35">
      <c r="B15" t="s">
        <v>66</v>
      </c>
      <c r="C15" t="s">
        <v>67</v>
      </c>
    </row>
    <row r="16" spans="2:17" x14ac:dyDescent="0.35">
      <c r="B16" t="s">
        <v>68</v>
      </c>
      <c r="C16" t="s">
        <v>69</v>
      </c>
    </row>
    <row r="17" spans="2:6" x14ac:dyDescent="0.35">
      <c r="B17" t="s">
        <v>70</v>
      </c>
      <c r="C17" t="s">
        <v>45</v>
      </c>
    </row>
    <row r="18" spans="2:6" x14ac:dyDescent="0.35">
      <c r="B18" t="s">
        <v>71</v>
      </c>
      <c r="C18" t="s">
        <v>57</v>
      </c>
    </row>
    <row r="19" spans="2:6" x14ac:dyDescent="0.35">
      <c r="B19" t="s">
        <v>72</v>
      </c>
      <c r="C19" t="s">
        <v>73</v>
      </c>
    </row>
    <row r="20" spans="2:6" x14ac:dyDescent="0.35">
      <c r="B20" t="s">
        <v>74</v>
      </c>
      <c r="C20" t="s">
        <v>51</v>
      </c>
    </row>
    <row r="21" spans="2:6" x14ac:dyDescent="0.35">
      <c r="B21" t="s">
        <v>75</v>
      </c>
      <c r="C21" t="s">
        <v>76</v>
      </c>
    </row>
    <row r="23" spans="2:6" x14ac:dyDescent="0.35">
      <c r="E23" s="3" t="s">
        <v>14</v>
      </c>
      <c r="F23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ED66-562E-40BC-AD39-3C161C751245}">
  <dimension ref="A1:D2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9" sqref="C19:D19"/>
    </sheetView>
  </sheetViews>
  <sheetFormatPr defaultRowHeight="14.5" x14ac:dyDescent="0.35"/>
  <cols>
    <col min="2" max="2" width="29" bestFit="1" customWidth="1"/>
  </cols>
  <sheetData>
    <row r="1" spans="1:4" x14ac:dyDescent="0.35">
      <c r="A1" s="5" t="s">
        <v>38</v>
      </c>
    </row>
    <row r="2" spans="1:4" x14ac:dyDescent="0.35">
      <c r="C2" t="s">
        <v>24</v>
      </c>
      <c r="D2" t="s">
        <v>25</v>
      </c>
    </row>
    <row r="3" spans="1:4" x14ac:dyDescent="0.35">
      <c r="B3" t="s">
        <v>15</v>
      </c>
      <c r="C3" s="1">
        <v>29848</v>
      </c>
      <c r="D3" s="1">
        <v>30944</v>
      </c>
    </row>
    <row r="4" spans="1:4" x14ac:dyDescent="0.35">
      <c r="B4" t="s">
        <v>26</v>
      </c>
      <c r="C4" s="1">
        <v>908</v>
      </c>
      <c r="D4" s="1">
        <v>905</v>
      </c>
    </row>
    <row r="5" spans="1:4" x14ac:dyDescent="0.35">
      <c r="B5" t="s">
        <v>27</v>
      </c>
      <c r="C5" s="1">
        <f>SUM(C3:C4)</f>
        <v>30756</v>
      </c>
      <c r="D5" s="1">
        <f>SUM(D3:D4)</f>
        <v>31849</v>
      </c>
    </row>
    <row r="6" spans="1:4" x14ac:dyDescent="0.35">
      <c r="B6" t="s">
        <v>28</v>
      </c>
      <c r="C6" s="1">
        <v>7870</v>
      </c>
      <c r="D6" s="1">
        <v>8006</v>
      </c>
    </row>
    <row r="7" spans="1:4" x14ac:dyDescent="0.35">
      <c r="B7" t="s">
        <v>29</v>
      </c>
      <c r="C7" s="1">
        <v>7388</v>
      </c>
      <c r="D7" s="1">
        <v>6676</v>
      </c>
    </row>
    <row r="8" spans="1:4" x14ac:dyDescent="0.35">
      <c r="B8" t="s">
        <v>30</v>
      </c>
      <c r="C8" s="1">
        <v>6752</v>
      </c>
      <c r="D8" s="1">
        <v>7078</v>
      </c>
    </row>
    <row r="9" spans="1:4" x14ac:dyDescent="0.35">
      <c r="B9" t="s">
        <v>31</v>
      </c>
      <c r="C9" s="1">
        <v>425</v>
      </c>
      <c r="D9" s="1">
        <v>241</v>
      </c>
    </row>
    <row r="10" spans="1:4" x14ac:dyDescent="0.35">
      <c r="B10" t="s">
        <v>32</v>
      </c>
      <c r="C10" s="1">
        <f>C5-SUM(C6:C8)+C9</f>
        <v>9171</v>
      </c>
      <c r="D10" s="1">
        <f>D5-SUM(D6:D8)+D9</f>
        <v>10330</v>
      </c>
    </row>
    <row r="11" spans="1:4" x14ac:dyDescent="0.35">
      <c r="B11" t="s">
        <v>33</v>
      </c>
      <c r="C11" s="1">
        <v>708</v>
      </c>
      <c r="D11" s="1">
        <v>693</v>
      </c>
    </row>
    <row r="12" spans="1:4" x14ac:dyDescent="0.35">
      <c r="B12" t="s">
        <v>34</v>
      </c>
      <c r="C12" s="1">
        <v>-140</v>
      </c>
      <c r="D12" s="1">
        <v>-49</v>
      </c>
    </row>
    <row r="13" spans="1:4" x14ac:dyDescent="0.35">
      <c r="B13" t="s">
        <v>35</v>
      </c>
      <c r="C13" s="1">
        <f>C10-C11+C12</f>
        <v>8323</v>
      </c>
      <c r="D13" s="1">
        <f>D10-D11+D12</f>
        <v>9588</v>
      </c>
    </row>
    <row r="14" spans="1:4" x14ac:dyDescent="0.35">
      <c r="B14" t="s">
        <v>36</v>
      </c>
      <c r="C14" s="1">
        <v>1526</v>
      </c>
      <c r="D14" s="1">
        <v>1756</v>
      </c>
    </row>
    <row r="15" spans="1:4" x14ac:dyDescent="0.35">
      <c r="B15" t="s">
        <v>37</v>
      </c>
      <c r="C15" s="1">
        <f>C13-C14</f>
        <v>6797</v>
      </c>
      <c r="D15" s="1">
        <f>D13-D14</f>
        <v>7832</v>
      </c>
    </row>
    <row r="16" spans="1:4" x14ac:dyDescent="0.35">
      <c r="C16" s="1"/>
      <c r="D16" s="1"/>
    </row>
    <row r="17" spans="2:4" x14ac:dyDescent="0.35">
      <c r="C17" s="1"/>
      <c r="D17" s="1"/>
    </row>
    <row r="18" spans="2:4" x14ac:dyDescent="0.35">
      <c r="C18" s="1"/>
      <c r="D18" s="1"/>
    </row>
    <row r="19" spans="2:4" x14ac:dyDescent="0.35">
      <c r="B19" t="s">
        <v>41</v>
      </c>
      <c r="C19" s="2">
        <f>C10/C3</f>
        <v>0.30725676762262127</v>
      </c>
      <c r="D19" s="2">
        <f>D10/D3</f>
        <v>0.33382885211995861</v>
      </c>
    </row>
    <row r="20" spans="2:4" x14ac:dyDescent="0.35">
      <c r="B20" t="s">
        <v>40</v>
      </c>
      <c r="D20" s="2">
        <f>D3/C3-1</f>
        <v>3.6719378182792806E-2</v>
      </c>
    </row>
    <row r="21" spans="2:4" x14ac:dyDescent="0.35">
      <c r="B21" t="s">
        <v>39</v>
      </c>
      <c r="D21" s="2">
        <f>D15/C15-1</f>
        <v>0.15227306164484333</v>
      </c>
    </row>
  </sheetData>
  <hyperlinks>
    <hyperlink ref="A1" location="Main!A1" display="Main" xr:uid="{DBC8C040-0FD9-4C68-B449-393DC867EA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2025-11-05T19:50:53Z</dcterms:modified>
</cp:coreProperties>
</file>