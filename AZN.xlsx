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8_{AE6F2FCC-36B0-4C77-8A87-E9F410ED7D1E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Main" sheetId="1" r:id="rId1"/>
    <sheet name="Sheet2" sheetId="3" r:id="rId2"/>
    <sheet name="Model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  <c r="E22" i="2"/>
  <c r="C22" i="2"/>
  <c r="C23" i="2"/>
  <c r="D23" i="2"/>
  <c r="D22" i="2"/>
  <c r="E20" i="2"/>
  <c r="D20" i="2"/>
  <c r="D18" i="2"/>
  <c r="C18" i="2"/>
  <c r="C16" i="2"/>
  <c r="C12" i="2"/>
  <c r="C7" i="2"/>
  <c r="E5" i="2"/>
  <c r="E7" i="2" s="1"/>
  <c r="D5" i="2"/>
  <c r="D7" i="2" s="1"/>
  <c r="C5" i="2"/>
  <c r="J7" i="1"/>
  <c r="J4" i="1"/>
  <c r="E12" i="2" l="1"/>
  <c r="E16" i="2" s="1"/>
  <c r="E18" i="2" s="1"/>
  <c r="D12" i="2"/>
  <c r="D16" i="2" s="1"/>
</calcChain>
</file>

<file path=xl/sharedStrings.xml><?xml version="1.0" encoding="utf-8"?>
<sst xmlns="http://schemas.openxmlformats.org/spreadsheetml/2006/main" count="78" uniqueCount="64">
  <si>
    <t>Price</t>
  </si>
  <si>
    <t>Shares</t>
  </si>
  <si>
    <t>Mcap</t>
  </si>
  <si>
    <t>EV</t>
  </si>
  <si>
    <t>Debt</t>
  </si>
  <si>
    <t>Cash</t>
  </si>
  <si>
    <t>Name</t>
  </si>
  <si>
    <t>Indication</t>
  </si>
  <si>
    <t>Economics</t>
  </si>
  <si>
    <t>MOA</t>
  </si>
  <si>
    <t>IP</t>
  </si>
  <si>
    <t>Main</t>
  </si>
  <si>
    <t>Product Sales</t>
  </si>
  <si>
    <t>Alliance Revenue</t>
  </si>
  <si>
    <t>Collaboration Revenue</t>
  </si>
  <si>
    <t>Total Revenue</t>
  </si>
  <si>
    <t>COGS</t>
  </si>
  <si>
    <t>Gross Profit</t>
  </si>
  <si>
    <t>Distribution Expense</t>
  </si>
  <si>
    <t>R&amp;D</t>
  </si>
  <si>
    <t>SG&amp;A</t>
  </si>
  <si>
    <t>Other operating income and expense</t>
  </si>
  <si>
    <t>Profit before tax</t>
  </si>
  <si>
    <t>Tax</t>
  </si>
  <si>
    <t>Operating Profit</t>
  </si>
  <si>
    <t>Finance Income</t>
  </si>
  <si>
    <t>Finance Expense</t>
  </si>
  <si>
    <t>Share of after tax losses</t>
  </si>
  <si>
    <t>Net Income</t>
  </si>
  <si>
    <t>revenue y/y</t>
  </si>
  <si>
    <t xml:space="preserve">gross margin </t>
  </si>
  <si>
    <t>net margin</t>
  </si>
  <si>
    <t>SEC_BLOOMBERG_ISIN_CODE</t>
  </si>
  <si>
    <t>NORMINAL_START</t>
  </si>
  <si>
    <t>PURCHASES</t>
  </si>
  <si>
    <t>SALES</t>
  </si>
  <si>
    <t>OTHER_CHARGES</t>
  </si>
  <si>
    <t>RETIFICATIONS</t>
  </si>
  <si>
    <t>NOMINAL</t>
  </si>
  <si>
    <t>MARKET</t>
  </si>
  <si>
    <t>SOLD_INTEREST</t>
  </si>
  <si>
    <t>PURCHASED_INTEREST</t>
  </si>
  <si>
    <t>COUPON</t>
  </si>
  <si>
    <t>isins</t>
  </si>
  <si>
    <t>numbers</t>
  </si>
  <si>
    <t>ISSUANCE</t>
  </si>
  <si>
    <t>ISSUANCE_PRICE</t>
  </si>
  <si>
    <t>PARTIAL_OR_EARLY_REDEM</t>
  </si>
  <si>
    <t>PARTIAL_OR_EARLY_REDEM_PRICE</t>
  </si>
  <si>
    <t>REDEM_VALUE</t>
  </si>
  <si>
    <t>FX_CHANGES</t>
  </si>
  <si>
    <t>PRICE_CHANGES</t>
  </si>
  <si>
    <t>OTHER_CHANGES</t>
  </si>
  <si>
    <t>ACCREUD_INT_START</t>
  </si>
  <si>
    <t>ACCRUED_INT_DURING</t>
  </si>
  <si>
    <t>SOLD_INT</t>
  </si>
  <si>
    <t>PURHCASED_INT</t>
  </si>
  <si>
    <t>COUPON_PAID_REVALUATIONS</t>
  </si>
  <si>
    <t>ACCRUED_INT_END</t>
  </si>
  <si>
    <t>COUPON_TYPE</t>
  </si>
  <si>
    <t>COUPON_PCT</t>
  </si>
  <si>
    <t>COUPON_FREQ</t>
  </si>
  <si>
    <t>HELD BONDS TEMPLATE:</t>
  </si>
  <si>
    <t>ISSUED BONDS TEMPLATE: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</si>
</sst>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3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7"/>
  <sheetViews>
    <sheetView workbookViewId="0">
      <selection activeCell="F3" sqref="F3"/>
    </sheetView>
  </sheetViews>
  <sheetFormatPr defaultRowHeight="14.5" x14ac:dyDescent="0.35"/>
  <sheetData>
    <row r="2" spans="2:10" x14ac:dyDescent="0.35">
      <c r="B2" t="s">
        <v>6</v>
      </c>
      <c r="C2" t="s">
        <v>7</v>
      </c>
      <c r="D2" t="s">
        <v>9</v>
      </c>
      <c r="E2" t="s">
        <v>8</v>
      </c>
      <c r="F2" t="s">
        <v>10</v>
      </c>
      <c r="I2" t="s">
        <v>0</v>
      </c>
      <c r="J2">
        <v>84.88</v>
      </c>
    </row>
    <row r="3" spans="2:10" x14ac:dyDescent="0.35">
      <c r="I3" t="s">
        <v>1</v>
      </c>
      <c r="J3">
        <v>3.1</v>
      </c>
    </row>
    <row r="4" spans="2:10" x14ac:dyDescent="0.35">
      <c r="I4" t="s">
        <v>2</v>
      </c>
      <c r="J4">
        <f>J2*J3</f>
        <v>263.12799999999999</v>
      </c>
    </row>
    <row r="5" spans="2:10" x14ac:dyDescent="0.35">
      <c r="I5" t="s">
        <v>5</v>
      </c>
      <c r="J5">
        <v>5488</v>
      </c>
    </row>
    <row r="6" spans="2:10" x14ac:dyDescent="0.35">
      <c r="I6" t="s">
        <v>4</v>
      </c>
      <c r="J6">
        <v>30295</v>
      </c>
    </row>
    <row r="7" spans="2:10" x14ac:dyDescent="0.35">
      <c r="I7" t="s">
        <v>3</v>
      </c>
      <c r="J7">
        <f>J4-J5+J6</f>
        <v>25070.128000000001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CC64-3E48-4559-8BF5-F0F73FE7BCC8}">
  <dimension ref="B1:W6"/>
  <sheetViews>
    <sheetView workbookViewId="0">
      <selection activeCell="L17" sqref="L17"/>
    </sheetView>
  </sheetViews>
  <sheetFormatPr defaultRowHeight="14.5" x14ac:dyDescent="0.35"/>
  <cols>
    <col min="2" max="2" width="26" bestFit="1" customWidth="1"/>
    <col min="3" max="3" width="16.36328125" bestFit="1" customWidth="1"/>
    <col min="4" max="4" width="10.54296875" bestFit="1" customWidth="1"/>
    <col min="5" max="5" width="14.81640625" bestFit="1" customWidth="1"/>
    <col min="6" max="6" width="24.54296875" bestFit="1" customWidth="1"/>
    <col min="7" max="7" width="30.453125" bestFit="1" customWidth="1"/>
    <col min="8" max="8" width="13.36328125" bestFit="1" customWidth="1"/>
    <col min="9" max="9" width="11.7265625" bestFit="1" customWidth="1"/>
    <col min="10" max="10" width="14.6328125" bestFit="1" customWidth="1"/>
    <col min="11" max="11" width="19.90625" bestFit="1" customWidth="1"/>
    <col min="12" max="12" width="13.36328125" bestFit="1" customWidth="1"/>
    <col min="13" max="13" width="9" bestFit="1" customWidth="1"/>
    <col min="14" max="14" width="7.81640625" bestFit="1" customWidth="1"/>
    <col min="15" max="15" width="19" bestFit="1" customWidth="1"/>
    <col min="16" max="16" width="20.54296875" bestFit="1" customWidth="1"/>
    <col min="17" max="17" width="9" bestFit="1" customWidth="1"/>
    <col min="18" max="18" width="14.81640625" bestFit="1" customWidth="1"/>
    <col min="19" max="19" width="27.26953125" bestFit="1" customWidth="1"/>
    <col min="20" max="20" width="17.36328125" bestFit="1" customWidth="1"/>
    <col min="21" max="21" width="13.26953125" bestFit="1" customWidth="1"/>
    <col min="22" max="22" width="12.26953125" bestFit="1" customWidth="1"/>
    <col min="23" max="23" width="13.6328125" bestFit="1" customWidth="1"/>
  </cols>
  <sheetData>
    <row r="1" spans="2:23" x14ac:dyDescent="0.35">
      <c r="B1" t="s">
        <v>62</v>
      </c>
    </row>
    <row r="2" spans="2:23" x14ac:dyDescent="0.35"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</row>
    <row r="3" spans="2:23" x14ac:dyDescent="0.35">
      <c r="B3" t="s">
        <v>43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</row>
    <row r="5" spans="2:23" x14ac:dyDescent="0.35">
      <c r="B5" t="s">
        <v>63</v>
      </c>
    </row>
    <row r="6" spans="2:23" x14ac:dyDescent="0.35">
      <c r="B6" t="s">
        <v>32</v>
      </c>
      <c r="C6" t="s">
        <v>33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37</v>
      </c>
      <c r="M6" t="s">
        <v>38</v>
      </c>
      <c r="N6" t="s">
        <v>39</v>
      </c>
      <c r="O6" t="s">
        <v>53</v>
      </c>
      <c r="P6" t="s">
        <v>54</v>
      </c>
      <c r="Q6" t="s">
        <v>55</v>
      </c>
      <c r="R6" t="s">
        <v>56</v>
      </c>
      <c r="S6" t="s">
        <v>57</v>
      </c>
      <c r="T6" t="s">
        <v>58</v>
      </c>
      <c r="U6" t="s">
        <v>59</v>
      </c>
      <c r="V6" t="s">
        <v>60</v>
      </c>
      <c r="W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0B8F-BF88-421D-BF21-B85E008C339E}">
  <dimension ref="A1:E2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4" sqref="B24"/>
    </sheetView>
  </sheetViews>
  <sheetFormatPr defaultRowHeight="14.5" x14ac:dyDescent="0.35"/>
  <cols>
    <col min="1" max="1" width="5.08984375" bestFit="1" customWidth="1"/>
    <col min="2" max="2" width="32.08984375" bestFit="1" customWidth="1"/>
    <col min="3" max="16384" width="8.7265625" style="2"/>
  </cols>
  <sheetData>
    <row r="1" spans="1:5" customFormat="1" x14ac:dyDescent="0.35">
      <c r="A1" s="1" t="s">
        <v>11</v>
      </c>
      <c r="C1">
        <v>2023</v>
      </c>
      <c r="D1">
        <v>2024</v>
      </c>
      <c r="E1">
        <v>2025</v>
      </c>
    </row>
    <row r="2" spans="1:5" x14ac:dyDescent="0.35">
      <c r="B2" t="s">
        <v>12</v>
      </c>
      <c r="C2" s="2">
        <v>42998</v>
      </c>
      <c r="D2" s="2">
        <v>43789</v>
      </c>
      <c r="E2" s="2">
        <v>50938</v>
      </c>
    </row>
    <row r="3" spans="1:5" x14ac:dyDescent="0.35">
      <c r="B3" t="s">
        <v>13</v>
      </c>
      <c r="C3" s="2">
        <v>755</v>
      </c>
      <c r="D3" s="2">
        <v>1428</v>
      </c>
      <c r="E3" s="2">
        <v>2212</v>
      </c>
    </row>
    <row r="4" spans="1:5" x14ac:dyDescent="0.35">
      <c r="B4" t="s">
        <v>14</v>
      </c>
      <c r="C4" s="2">
        <v>598</v>
      </c>
      <c r="D4" s="2">
        <v>594</v>
      </c>
      <c r="E4" s="2">
        <v>923</v>
      </c>
    </row>
    <row r="5" spans="1:5" x14ac:dyDescent="0.35">
      <c r="B5" t="s">
        <v>15</v>
      </c>
      <c r="C5" s="2">
        <f>SUM(C2:C4)</f>
        <v>44351</v>
      </c>
      <c r="D5" s="2">
        <f>SUM(D2:D4)</f>
        <v>45811</v>
      </c>
      <c r="E5" s="2">
        <f>SUM(E2:E4)</f>
        <v>54073</v>
      </c>
    </row>
    <row r="6" spans="1:5" x14ac:dyDescent="0.35">
      <c r="B6" t="s">
        <v>16</v>
      </c>
      <c r="C6" s="2">
        <v>12391</v>
      </c>
      <c r="D6" s="2">
        <v>8268</v>
      </c>
      <c r="E6" s="2">
        <v>10207</v>
      </c>
    </row>
    <row r="7" spans="1:5" x14ac:dyDescent="0.35">
      <c r="B7" t="s">
        <v>17</v>
      </c>
      <c r="C7" s="2">
        <f>C5-C6</f>
        <v>31960</v>
      </c>
      <c r="D7" s="2">
        <f>D5-D6</f>
        <v>37543</v>
      </c>
      <c r="E7" s="2">
        <f>E5-E6</f>
        <v>43866</v>
      </c>
    </row>
    <row r="8" spans="1:5" x14ac:dyDescent="0.35">
      <c r="B8" t="s">
        <v>18</v>
      </c>
      <c r="C8" s="2">
        <v>536</v>
      </c>
      <c r="D8" s="2">
        <v>539</v>
      </c>
      <c r="E8" s="2">
        <v>555</v>
      </c>
    </row>
    <row r="9" spans="1:5" x14ac:dyDescent="0.35">
      <c r="B9" t="s">
        <v>19</v>
      </c>
      <c r="C9" s="2">
        <v>9762</v>
      </c>
      <c r="D9" s="2">
        <v>10935</v>
      </c>
      <c r="E9" s="2">
        <v>13583</v>
      </c>
    </row>
    <row r="10" spans="1:5" x14ac:dyDescent="0.35">
      <c r="B10" t="s">
        <v>20</v>
      </c>
      <c r="C10" s="2">
        <v>18419</v>
      </c>
      <c r="D10" s="2">
        <v>19216</v>
      </c>
      <c r="E10" s="2">
        <v>19977</v>
      </c>
    </row>
    <row r="11" spans="1:5" x14ac:dyDescent="0.35">
      <c r="B11" t="s">
        <v>21</v>
      </c>
      <c r="C11" s="2">
        <v>514</v>
      </c>
      <c r="D11" s="2">
        <v>1340</v>
      </c>
      <c r="E11" s="2">
        <v>252</v>
      </c>
    </row>
    <row r="12" spans="1:5" x14ac:dyDescent="0.35">
      <c r="B12" t="s">
        <v>24</v>
      </c>
      <c r="C12" s="2">
        <f>C7-SUM(C8:C10)+C11</f>
        <v>3757</v>
      </c>
      <c r="D12" s="2">
        <f>D7-SUM(D8:D10)+D11</f>
        <v>8193</v>
      </c>
      <c r="E12" s="2">
        <f>E7-SUM(E8:E10)+E11</f>
        <v>10003</v>
      </c>
    </row>
    <row r="13" spans="1:5" x14ac:dyDescent="0.35">
      <c r="B13" t="s">
        <v>25</v>
      </c>
      <c r="C13" s="2">
        <v>95</v>
      </c>
      <c r="D13" s="2">
        <v>344</v>
      </c>
      <c r="E13" s="2">
        <v>458</v>
      </c>
    </row>
    <row r="14" spans="1:5" x14ac:dyDescent="0.35">
      <c r="B14" t="s">
        <v>26</v>
      </c>
      <c r="C14" s="2">
        <v>1346</v>
      </c>
      <c r="D14" s="2">
        <v>1626</v>
      </c>
      <c r="E14" s="2">
        <v>1742</v>
      </c>
    </row>
    <row r="15" spans="1:5" x14ac:dyDescent="0.35">
      <c r="B15" t="s">
        <v>27</v>
      </c>
      <c r="C15" s="2">
        <v>5</v>
      </c>
      <c r="D15" s="2">
        <v>12</v>
      </c>
      <c r="E15" s="2">
        <v>28</v>
      </c>
    </row>
    <row r="16" spans="1:5" x14ac:dyDescent="0.35">
      <c r="B16" t="s">
        <v>22</v>
      </c>
      <c r="C16" s="2">
        <f>C12+C13-C14-C15</f>
        <v>2501</v>
      </c>
      <c r="D16" s="2">
        <f>D12+D13-D14-D15</f>
        <v>6899</v>
      </c>
      <c r="E16" s="2">
        <f>E12+E13-E14-E15</f>
        <v>8691</v>
      </c>
    </row>
    <row r="17" spans="2:5" x14ac:dyDescent="0.35">
      <c r="B17" t="s">
        <v>23</v>
      </c>
      <c r="C17" s="2">
        <v>-792</v>
      </c>
      <c r="D17" s="2">
        <v>938</v>
      </c>
      <c r="E17" s="2">
        <v>1650</v>
      </c>
    </row>
    <row r="18" spans="2:5" x14ac:dyDescent="0.35">
      <c r="B18" t="s">
        <v>28</v>
      </c>
      <c r="C18" s="2">
        <f>C16-C17</f>
        <v>3293</v>
      </c>
      <c r="D18" s="2">
        <f>D16-D17</f>
        <v>5961</v>
      </c>
      <c r="E18" s="2">
        <f>E16-E17</f>
        <v>7041</v>
      </c>
    </row>
    <row r="20" spans="2:5" x14ac:dyDescent="0.35">
      <c r="B20" t="s">
        <v>29</v>
      </c>
      <c r="D20" s="3">
        <f>D5/C5-1</f>
        <v>3.2919212644585194E-2</v>
      </c>
      <c r="E20" s="3">
        <f>E5/D5-1</f>
        <v>0.18034969767086517</v>
      </c>
    </row>
    <row r="22" spans="2:5" x14ac:dyDescent="0.35">
      <c r="B22" t="s">
        <v>30</v>
      </c>
      <c r="C22" s="3">
        <f>C7/C5</f>
        <v>0.72061509323352346</v>
      </c>
      <c r="D22" s="3">
        <f>D7/D5</f>
        <v>0.81951932941869854</v>
      </c>
      <c r="E22" s="3">
        <f>E7/E5</f>
        <v>0.81123666155012664</v>
      </c>
    </row>
    <row r="23" spans="2:5" x14ac:dyDescent="0.35">
      <c r="B23" t="s">
        <v>31</v>
      </c>
      <c r="C23" s="3">
        <f>C18/C2</f>
        <v>7.6584957439880919E-2</v>
      </c>
      <c r="D23" s="3">
        <f>D18/D2</f>
        <v>0.13613007833017424</v>
      </c>
      <c r="E23" s="3">
        <f>E18/E2</f>
        <v>0.13822686403078252</v>
      </c>
    </row>
  </sheetData>
  <hyperlinks>
    <hyperlink ref="A1" location="Main!A1" display="Main" xr:uid="{35DA5C89-654F-4724-AC38-0848A34685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Sheet2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2025-11-16T21:28:23Z</dcterms:modified>
</cp:coreProperties>
</file>