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9434E38E-B235-4CB9-9334-BBC6A707E8D3}" xr6:coauthVersionLast="47" xr6:coauthVersionMax="47" xr10:uidLastSave="{00000000-0000-0000-0000-000000000000}"/>
  <bookViews>
    <workbookView xWindow="21260" yWindow="1900" windowWidth="16810" windowHeight="17250" xr2:uid="{00000000-000D-0000-FFFF-FFFF00000000}"/>
  </bookViews>
  <sheets>
    <sheet name="Main" sheetId="1" r:id="rId1"/>
    <sheet name="Model" sheetId="2" r:id="rId2"/>
    <sheet name="Niktimvo" sheetId="4" r:id="rId3"/>
    <sheet name="Revuforj" sheetId="3" r:id="rId4"/>
    <sheet name="Literature" sheetId="6" r:id="rId5"/>
    <sheet name="Leukemi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7" i="2" s="1"/>
  <c r="L9" i="2" s="1"/>
  <c r="L11" i="2" s="1"/>
  <c r="G13" i="2"/>
  <c r="F13" i="2"/>
  <c r="E13" i="2"/>
  <c r="D4" i="2"/>
  <c r="D7" i="2" s="1"/>
  <c r="D9" i="2" s="1"/>
  <c r="D11" i="2" s="1"/>
  <c r="E4" i="2"/>
  <c r="E7" i="2" s="1"/>
  <c r="E9" i="2" s="1"/>
  <c r="E11" i="2" s="1"/>
  <c r="F4" i="2"/>
  <c r="F7" i="2" s="1"/>
  <c r="F9" i="2" s="1"/>
  <c r="F11" i="2" s="1"/>
  <c r="G4" i="2"/>
  <c r="G7" i="2" s="1"/>
  <c r="G9" i="2" s="1"/>
  <c r="G11" i="2" s="1"/>
  <c r="M1" i="2"/>
  <c r="N1" i="2" s="1"/>
  <c r="O1" i="2" s="1"/>
  <c r="P1" i="2" s="1"/>
  <c r="Q1" i="2" s="1"/>
  <c r="R1" i="2" s="1"/>
  <c r="S1" i="2" s="1"/>
  <c r="T1" i="2" s="1"/>
  <c r="U1" i="2" s="1"/>
  <c r="M8" i="1"/>
  <c r="M5" i="1"/>
</calcChain>
</file>

<file path=xl/sharedStrings.xml><?xml version="1.0" encoding="utf-8"?>
<sst xmlns="http://schemas.openxmlformats.org/spreadsheetml/2006/main" count="91" uniqueCount="78">
  <si>
    <t>Name</t>
  </si>
  <si>
    <t>Generic</t>
  </si>
  <si>
    <t>Indication</t>
  </si>
  <si>
    <t>Mechanism</t>
  </si>
  <si>
    <t>Approved</t>
  </si>
  <si>
    <t>IP</t>
  </si>
  <si>
    <t>Phase</t>
  </si>
  <si>
    <t>Competition</t>
  </si>
  <si>
    <t>Price</t>
  </si>
  <si>
    <t>Share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</si>
  <si>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</si>
  <si>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</si>
  <si>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</si>
  <si>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</si>
  <si>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</si>
  <si>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</si>
  <si>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</si>
  <si>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</si>
  <si>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SG&amp;A</t>
  </si>
  <si>
    <t>R&amp;D</t>
  </si>
  <si>
    <t>Operating Income</t>
  </si>
  <si>
    <t>Other Income</t>
  </si>
  <si>
    <t>Pretax Income</t>
  </si>
  <si>
    <t>Income Taxes</t>
  </si>
  <si>
    <t>Net income</t>
  </si>
  <si>
    <t>2Q2025</t>
  </si>
  <si>
    <t>1Q2025</t>
  </si>
  <si>
    <t>4Q2025</t>
  </si>
  <si>
    <t>3Q2025</t>
  </si>
  <si>
    <t>Revenue y/y</t>
  </si>
  <si>
    <t>Revuforj</t>
  </si>
  <si>
    <t>Niktimvo</t>
  </si>
  <si>
    <t>menin inhibitor</t>
  </si>
  <si>
    <t>acute leukemia / KMT2A</t>
  </si>
  <si>
    <t>Economics</t>
  </si>
  <si>
    <t>revumenib</t>
  </si>
  <si>
    <t>colony stimulating factor-1</t>
  </si>
  <si>
    <t>chronic graftversus-host diease (cGVHD)</t>
  </si>
  <si>
    <t>Incyte agreements 2021 117mln in cash to SNDX in exchange of shares</t>
  </si>
  <si>
    <t>90%?</t>
  </si>
  <si>
    <t>Axatilimab (UCB635)</t>
  </si>
  <si>
    <t>III?</t>
  </si>
  <si>
    <t>Phase 1/2 SAVE</t>
  </si>
  <si>
    <t>Phase 1 BEAT AML</t>
  </si>
  <si>
    <t>Phase 3 EVOLVE-2</t>
  </si>
  <si>
    <t>Phase 1 INCERCEPT</t>
  </si>
  <si>
    <t>axatilimab-csfr</t>
  </si>
  <si>
    <t>cGVDH</t>
  </si>
  <si>
    <t>Clinical Trials</t>
  </si>
  <si>
    <t>AGAVE-201</t>
  </si>
  <si>
    <t>IPF / newly diagnosed Cgvhd</t>
  </si>
  <si>
    <t>MAXPIRe</t>
  </si>
  <si>
    <t>CSF-1R1-BLICKING ANTIBODY</t>
  </si>
  <si>
    <t>Phase 2 NCT06132256</t>
  </si>
  <si>
    <t>Phase 3 NCT06585774</t>
  </si>
  <si>
    <t>Phase 2 NCT06388564</t>
  </si>
  <si>
    <t>Phase 2 AUGMENT-101 on patients with R/R mNPM11 AML n=77</t>
  </si>
  <si>
    <t>study met primary endpoint with CR+CRh rate of 23%</t>
  </si>
  <si>
    <t>R/R nMPM1 AML</t>
  </si>
  <si>
    <t>what is the difference between relapsed and first time myleoid leukemia?</t>
  </si>
  <si>
    <t>Myeloid leukemia</t>
  </si>
  <si>
    <t>Complete remission (CR)</t>
  </si>
  <si>
    <t>Partial hematological recovery (CRh)</t>
  </si>
  <si>
    <t>ORR = 47%, 17% proceeded to stem cell trasnplant (HSCT) while in remission</t>
  </si>
  <si>
    <t>all 64</t>
  </si>
  <si>
    <t>CR+CRh 15</t>
  </si>
  <si>
    <t>serious adverse events in &gt;=5% of patients</t>
  </si>
  <si>
    <t>median time to first CR+CRh was 2.76 months, median duration of CR+CRh was 4.7 months</t>
  </si>
  <si>
    <t>overall survival (OS)</t>
  </si>
  <si>
    <t>Symptoms</t>
  </si>
  <si>
    <t>Treatments</t>
  </si>
  <si>
    <t>Causes</t>
  </si>
  <si>
    <t>Diagnosis</t>
  </si>
  <si>
    <t>Types</t>
  </si>
  <si>
    <t>Names</t>
  </si>
  <si>
    <t>…</t>
  </si>
  <si>
    <t>A 2024 Update on Menin Inhibitors. A New Class of Target Agents against KMT2A-Rearranged and NPM1-Mutated Acute Myeloid Leukemia</t>
  </si>
  <si>
    <t>Candoni and Coppola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</si>
</sst>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" fillId="0" borderId="0" xfId="1"/>
    <xf numFmtId="9" fontId="0" fillId="0" borderId="0" xfId="0" applyNumberFormat="1"/>
    <xf numFmtId="0" fontId="2" fillId="0" borderId="0" xfId="0" applyFont="1"/>
    <xf numFmtId="0" fontId="0" fillId="0" borderId="1" xfId="0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3"/>
  <sheetViews>
    <sheetView tabSelected="1" workbookViewId="0">
      <selection activeCell="C17" sqref="C17"/>
    </sheetView>
  </sheetViews>
  <sheetFormatPr defaultRowHeight="14.5" x14ac:dyDescent="0.35"/>
  <cols>
    <col min="2" max="2" width="18" bestFit="1" customWidth="1"/>
    <col min="3" max="4" width="34.7265625" bestFit="1" customWidth="1"/>
    <col min="5" max="5" width="23.1796875" bestFit="1" customWidth="1"/>
    <col min="6" max="6" width="9" bestFit="1" customWidth="1"/>
  </cols>
  <sheetData>
    <row r="2" spans="2:13" x14ac:dyDescent="0.35">
      <c r="B2" s="5" t="s">
        <v>0</v>
      </c>
      <c r="C2" s="5" t="s">
        <v>2</v>
      </c>
      <c r="D2" s="5" t="s">
        <v>34</v>
      </c>
      <c r="E2" s="5" t="s">
        <v>3</v>
      </c>
      <c r="F2" s="5" t="s">
        <v>4</v>
      </c>
      <c r="G2" s="5" t="s">
        <v>5</v>
      </c>
    </row>
    <row r="3" spans="2:13" x14ac:dyDescent="0.35">
      <c r="B3" t="s">
        <v>30</v>
      </c>
      <c r="C3" t="s">
        <v>33</v>
      </c>
      <c r="D3" t="s">
        <v>39</v>
      </c>
      <c r="E3" t="s">
        <v>32</v>
      </c>
      <c r="F3">
        <v>2024</v>
      </c>
      <c r="L3" t="s">
        <v>8</v>
      </c>
      <c r="M3">
        <v>12.91</v>
      </c>
    </row>
    <row r="4" spans="2:13" x14ac:dyDescent="0.35">
      <c r="B4" s="2" t="s">
        <v>31</v>
      </c>
      <c r="C4" t="s">
        <v>37</v>
      </c>
      <c r="D4" s="3">
        <v>0.5</v>
      </c>
      <c r="E4" t="s">
        <v>36</v>
      </c>
      <c r="F4">
        <v>2024</v>
      </c>
      <c r="L4" t="s">
        <v>9</v>
      </c>
      <c r="M4">
        <v>85.7</v>
      </c>
    </row>
    <row r="5" spans="2:13" x14ac:dyDescent="0.35">
      <c r="L5" t="s">
        <v>10</v>
      </c>
      <c r="M5" s="1">
        <f>M3*M4</f>
        <v>1106.3869999999999</v>
      </c>
    </row>
    <row r="6" spans="2:13" x14ac:dyDescent="0.35">
      <c r="L6" t="s">
        <v>11</v>
      </c>
      <c r="M6" s="1">
        <v>133</v>
      </c>
    </row>
    <row r="7" spans="2:13" x14ac:dyDescent="0.35">
      <c r="L7" t="s">
        <v>12</v>
      </c>
      <c r="M7" s="1">
        <v>0</v>
      </c>
    </row>
    <row r="8" spans="2:13" x14ac:dyDescent="0.35">
      <c r="B8" s="5"/>
      <c r="C8" s="5"/>
      <c r="D8" s="5"/>
      <c r="E8" s="5"/>
      <c r="F8" s="5" t="s">
        <v>6</v>
      </c>
      <c r="G8" s="5" t="s">
        <v>7</v>
      </c>
      <c r="L8" t="s">
        <v>13</v>
      </c>
      <c r="M8" s="1">
        <f>M5-M6</f>
        <v>973.38699999999994</v>
      </c>
    </row>
    <row r="9" spans="2:13" x14ac:dyDescent="0.35">
      <c r="B9" s="2" t="s">
        <v>40</v>
      </c>
      <c r="C9" t="s">
        <v>50</v>
      </c>
      <c r="D9" s="3">
        <v>0.5</v>
      </c>
      <c r="F9" t="s">
        <v>41</v>
      </c>
    </row>
    <row r="13" spans="2:13" x14ac:dyDescent="0.35">
      <c r="J13" s="6" t="s">
        <v>38</v>
      </c>
    </row>
  </sheetData>
  <hyperlinks>
    <hyperlink ref="B9" location="Niktimvo!A1" display="Axatilimab (UCB635)" xr:uid="{1A07624E-7345-4810-A7B4-8907098FEC75}"/>
    <hyperlink ref="B4" location="Niktimvo!A1" display="Niktimvo" xr:uid="{888A2FCA-3B28-4F77-93B6-DD13B00843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ACD1-52C6-4B98-9B83-EF0C588B3828}">
  <dimension ref="A1:U13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5.08984375" bestFit="1" customWidth="1"/>
    <col min="2" max="2" width="15.81640625" bestFit="1" customWidth="1"/>
    <col min="3" max="4" width="15.81640625" customWidth="1"/>
  </cols>
  <sheetData>
    <row r="1" spans="1:21" x14ac:dyDescent="0.35">
      <c r="A1" s="2" t="s">
        <v>14</v>
      </c>
      <c r="D1" t="s">
        <v>28</v>
      </c>
      <c r="E1" t="s">
        <v>27</v>
      </c>
      <c r="F1" t="s">
        <v>26</v>
      </c>
      <c r="G1" t="s">
        <v>25</v>
      </c>
      <c r="K1">
        <v>2023</v>
      </c>
      <c r="L1">
        <v>2024</v>
      </c>
      <c r="M1">
        <f>L1+1</f>
        <v>2025</v>
      </c>
      <c r="N1">
        <f t="shared" ref="N1:U1" si="0">M1+1</f>
        <v>2026</v>
      </c>
      <c r="O1">
        <f t="shared" si="0"/>
        <v>2027</v>
      </c>
      <c r="P1">
        <f t="shared" si="0"/>
        <v>2028</v>
      </c>
      <c r="Q1">
        <f t="shared" si="0"/>
        <v>2029</v>
      </c>
      <c r="R1">
        <f t="shared" si="0"/>
        <v>2030</v>
      </c>
      <c r="S1">
        <f t="shared" si="0"/>
        <v>2031</v>
      </c>
      <c r="T1">
        <f t="shared" si="0"/>
        <v>2032</v>
      </c>
      <c r="U1">
        <f t="shared" si="0"/>
        <v>2033</v>
      </c>
    </row>
    <row r="2" spans="1:21" x14ac:dyDescent="0.35">
      <c r="B2" t="s">
        <v>15</v>
      </c>
      <c r="D2">
        <v>12.5</v>
      </c>
      <c r="E2">
        <v>7.7</v>
      </c>
      <c r="F2">
        <v>20</v>
      </c>
      <c r="G2">
        <v>38</v>
      </c>
      <c r="L2">
        <v>23.7</v>
      </c>
    </row>
    <row r="3" spans="1:21" x14ac:dyDescent="0.35">
      <c r="B3" t="s">
        <v>16</v>
      </c>
      <c r="D3">
        <v>0</v>
      </c>
      <c r="E3">
        <v>0</v>
      </c>
      <c r="F3">
        <v>0.9</v>
      </c>
      <c r="G3">
        <v>1.3</v>
      </c>
      <c r="L3">
        <v>0</v>
      </c>
    </row>
    <row r="4" spans="1:21" x14ac:dyDescent="0.35">
      <c r="B4" t="s">
        <v>17</v>
      </c>
      <c r="D4">
        <f>D2-D3</f>
        <v>12.5</v>
      </c>
      <c r="E4">
        <f>E2-E3</f>
        <v>7.7</v>
      </c>
      <c r="F4">
        <f>F2-F3</f>
        <v>19.100000000000001</v>
      </c>
      <c r="G4">
        <f>G2-G3</f>
        <v>36.700000000000003</v>
      </c>
      <c r="L4">
        <f>L2-L3</f>
        <v>23.7</v>
      </c>
    </row>
    <row r="5" spans="1:21" x14ac:dyDescent="0.35">
      <c r="B5" t="s">
        <v>18</v>
      </c>
      <c r="D5">
        <v>31.1</v>
      </c>
      <c r="E5">
        <v>37.700000000000003</v>
      </c>
      <c r="F5">
        <v>41</v>
      </c>
      <c r="G5">
        <v>43.8</v>
      </c>
      <c r="L5">
        <v>120.9</v>
      </c>
    </row>
    <row r="6" spans="1:21" x14ac:dyDescent="0.35">
      <c r="B6" t="s">
        <v>19</v>
      </c>
      <c r="D6">
        <v>71</v>
      </c>
      <c r="E6">
        <v>65.5</v>
      </c>
      <c r="F6">
        <v>61.6</v>
      </c>
      <c r="G6">
        <v>62.2</v>
      </c>
      <c r="L6">
        <v>241.6</v>
      </c>
    </row>
    <row r="7" spans="1:21" x14ac:dyDescent="0.35">
      <c r="B7" t="s">
        <v>20</v>
      </c>
      <c r="D7">
        <f>D4-D6-D5</f>
        <v>-89.6</v>
      </c>
      <c r="E7">
        <f>E4-E6-E5</f>
        <v>-95.5</v>
      </c>
      <c r="F7">
        <f>F4-F6-F5</f>
        <v>-83.5</v>
      </c>
      <c r="G7">
        <f>G4-G6-G5</f>
        <v>-69.3</v>
      </c>
      <c r="L7">
        <f>L4-L6-L5</f>
        <v>-338.8</v>
      </c>
    </row>
    <row r="8" spans="1:21" x14ac:dyDescent="0.35">
      <c r="B8" t="s">
        <v>21</v>
      </c>
      <c r="D8">
        <v>5.5</v>
      </c>
      <c r="E8">
        <v>2.4</v>
      </c>
      <c r="F8">
        <v>-1.1000000000000001</v>
      </c>
      <c r="G8">
        <v>-2.5</v>
      </c>
      <c r="L8">
        <v>21.2</v>
      </c>
    </row>
    <row r="9" spans="1:21" x14ac:dyDescent="0.35">
      <c r="B9" t="s">
        <v>22</v>
      </c>
      <c r="D9">
        <f>D7+D8</f>
        <v>-84.1</v>
      </c>
      <c r="E9">
        <f>E7+E8</f>
        <v>-93.1</v>
      </c>
      <c r="F9">
        <f>F7+F8</f>
        <v>-84.6</v>
      </c>
      <c r="G9">
        <f>G7+G8</f>
        <v>-71.8</v>
      </c>
      <c r="L9">
        <f>L7+L8</f>
        <v>-317.60000000000002</v>
      </c>
    </row>
    <row r="10" spans="1:21" x14ac:dyDescent="0.35">
      <c r="B10" t="s">
        <v>23</v>
      </c>
      <c r="D10">
        <v>0</v>
      </c>
      <c r="E10">
        <v>0</v>
      </c>
      <c r="F10">
        <v>0</v>
      </c>
      <c r="G10">
        <v>0</v>
      </c>
      <c r="L10">
        <v>0</v>
      </c>
    </row>
    <row r="11" spans="1:21" x14ac:dyDescent="0.35">
      <c r="B11" t="s">
        <v>24</v>
      </c>
      <c r="D11">
        <f>D9+D10</f>
        <v>-84.1</v>
      </c>
      <c r="E11">
        <f>E9+E10</f>
        <v>-93.1</v>
      </c>
      <c r="F11">
        <f>F9+F10</f>
        <v>-84.6</v>
      </c>
      <c r="G11">
        <f>G9+G10</f>
        <v>-71.8</v>
      </c>
      <c r="L11">
        <f>L9+L10</f>
        <v>-317.60000000000002</v>
      </c>
    </row>
    <row r="13" spans="1:21" x14ac:dyDescent="0.35">
      <c r="B13" t="s">
        <v>29</v>
      </c>
      <c r="E13" s="3">
        <f>E2/D2-1</f>
        <v>-0.38400000000000001</v>
      </c>
      <c r="F13" s="3">
        <f t="shared" ref="F13:G13" si="1">F2/E2-1</f>
        <v>1.5974025974025974</v>
      </c>
      <c r="G13" s="3">
        <f t="shared" si="1"/>
        <v>0.89999999999999991</v>
      </c>
    </row>
  </sheetData>
  <hyperlinks>
    <hyperlink ref="A1" location="Main!A1" display="Main" xr:uid="{9D740AB1-BEA7-45E8-91D3-F3B1C9A23B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FBE7-A687-4457-86F2-14139F215E33}">
  <dimension ref="A1:C18"/>
  <sheetViews>
    <sheetView workbookViewId="0">
      <selection activeCell="C13" sqref="C13"/>
    </sheetView>
  </sheetViews>
  <sheetFormatPr defaultRowHeight="14.5" x14ac:dyDescent="0.35"/>
  <sheetData>
    <row r="1" spans="1:3" x14ac:dyDescent="0.35">
      <c r="A1" s="2" t="s">
        <v>14</v>
      </c>
    </row>
    <row r="2" spans="1:3" x14ac:dyDescent="0.35">
      <c r="B2" t="s">
        <v>0</v>
      </c>
      <c r="C2" t="s">
        <v>31</v>
      </c>
    </row>
    <row r="3" spans="1:3" x14ac:dyDescent="0.35">
      <c r="B3" t="s">
        <v>1</v>
      </c>
      <c r="C3" t="s">
        <v>46</v>
      </c>
    </row>
    <row r="4" spans="1:3" x14ac:dyDescent="0.35">
      <c r="B4" t="s">
        <v>3</v>
      </c>
      <c r="C4" t="s">
        <v>52</v>
      </c>
    </row>
    <row r="5" spans="1:3" x14ac:dyDescent="0.35">
      <c r="B5" t="s">
        <v>2</v>
      </c>
      <c r="C5" t="s">
        <v>47</v>
      </c>
    </row>
    <row r="6" spans="1:3" x14ac:dyDescent="0.35">
      <c r="B6" t="s">
        <v>7</v>
      </c>
    </row>
    <row r="7" spans="1:3" x14ac:dyDescent="0.35">
      <c r="B7" t="s">
        <v>48</v>
      </c>
    </row>
    <row r="9" spans="1:3" x14ac:dyDescent="0.35">
      <c r="C9" s="4" t="s">
        <v>49</v>
      </c>
    </row>
    <row r="11" spans="1:3" x14ac:dyDescent="0.35">
      <c r="C11" s="4"/>
    </row>
    <row r="12" spans="1:3" x14ac:dyDescent="0.35">
      <c r="C12" s="4" t="s">
        <v>55</v>
      </c>
    </row>
    <row r="14" spans="1:3" x14ac:dyDescent="0.35">
      <c r="C14" s="4" t="s">
        <v>53</v>
      </c>
    </row>
    <row r="15" spans="1:3" x14ac:dyDescent="0.35">
      <c r="C15" s="4"/>
    </row>
    <row r="16" spans="1:3" x14ac:dyDescent="0.35">
      <c r="C16" s="4" t="s">
        <v>54</v>
      </c>
    </row>
    <row r="17" spans="3:3" x14ac:dyDescent="0.35">
      <c r="C17" s="4"/>
    </row>
    <row r="18" spans="3:3" x14ac:dyDescent="0.35">
      <c r="C18" s="4" t="s">
        <v>51</v>
      </c>
    </row>
  </sheetData>
  <hyperlinks>
    <hyperlink ref="A1" location="Main!A1" display="Main" xr:uid="{1AC92AFF-B669-416E-BEB9-C1C02633EA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B4CA-8076-4AE7-A5C0-2DF75FE61897}">
  <dimension ref="B2:D29"/>
  <sheetViews>
    <sheetView workbookViewId="0">
      <selection activeCell="D17" sqref="D17"/>
    </sheetView>
  </sheetViews>
  <sheetFormatPr defaultRowHeight="14.5" x14ac:dyDescent="0.35"/>
  <cols>
    <col min="3" max="3" width="12.26953125" customWidth="1"/>
  </cols>
  <sheetData>
    <row r="2" spans="2:4" x14ac:dyDescent="0.35">
      <c r="B2" t="s">
        <v>0</v>
      </c>
      <c r="C2" t="s">
        <v>30</v>
      </c>
    </row>
    <row r="3" spans="2:4" x14ac:dyDescent="0.35">
      <c r="B3" t="s">
        <v>1</v>
      </c>
      <c r="C3" t="s">
        <v>35</v>
      </c>
    </row>
    <row r="4" spans="2:4" x14ac:dyDescent="0.35">
      <c r="B4" t="s">
        <v>2</v>
      </c>
    </row>
    <row r="5" spans="2:4" x14ac:dyDescent="0.35">
      <c r="B5" t="s">
        <v>3</v>
      </c>
    </row>
    <row r="6" spans="2:4" x14ac:dyDescent="0.35">
      <c r="B6" t="s">
        <v>34</v>
      </c>
    </row>
    <row r="9" spans="2:4" x14ac:dyDescent="0.35">
      <c r="C9" s="4" t="s">
        <v>56</v>
      </c>
    </row>
    <row r="10" spans="2:4" x14ac:dyDescent="0.35">
      <c r="C10" t="s">
        <v>57</v>
      </c>
    </row>
    <row r="11" spans="2:4" x14ac:dyDescent="0.35">
      <c r="C11" t="s">
        <v>67</v>
      </c>
    </row>
    <row r="12" spans="2:4" x14ac:dyDescent="0.35">
      <c r="C12" t="s">
        <v>63</v>
      </c>
    </row>
    <row r="13" spans="2:4" x14ac:dyDescent="0.35">
      <c r="C13" t="s">
        <v>66</v>
      </c>
    </row>
    <row r="16" spans="2:4" x14ac:dyDescent="0.35">
      <c r="D16" t="s">
        <v>68</v>
      </c>
    </row>
    <row r="17" spans="3:4" x14ac:dyDescent="0.35">
      <c r="C17" t="s">
        <v>64</v>
      </c>
      <c r="D17">
        <v>4</v>
      </c>
    </row>
    <row r="18" spans="3:4" x14ac:dyDescent="0.35">
      <c r="C18" t="s">
        <v>65</v>
      </c>
      <c r="D18">
        <v>23.3</v>
      </c>
    </row>
    <row r="23" spans="3:4" x14ac:dyDescent="0.35">
      <c r="C23" s="4" t="s">
        <v>44</v>
      </c>
    </row>
    <row r="24" spans="3:4" x14ac:dyDescent="0.35">
      <c r="C24" s="4"/>
    </row>
    <row r="25" spans="3:4" x14ac:dyDescent="0.35">
      <c r="C25" s="4" t="s">
        <v>42</v>
      </c>
    </row>
    <row r="26" spans="3:4" x14ac:dyDescent="0.35">
      <c r="C26" s="4"/>
    </row>
    <row r="27" spans="3:4" x14ac:dyDescent="0.35">
      <c r="C27" s="4" t="s">
        <v>43</v>
      </c>
    </row>
    <row r="28" spans="3:4" x14ac:dyDescent="0.35">
      <c r="C28" s="4"/>
    </row>
    <row r="29" spans="3:4" x14ac:dyDescent="0.35">
      <c r="C29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8EC3-791A-4405-B3A4-210751622FA9}">
  <dimension ref="B3:B4"/>
  <sheetViews>
    <sheetView workbookViewId="0">
      <selection activeCell="B5" sqref="B5"/>
    </sheetView>
  </sheetViews>
  <sheetFormatPr defaultRowHeight="14.5" x14ac:dyDescent="0.35"/>
  <sheetData>
    <row r="3" spans="2:2" x14ac:dyDescent="0.35">
      <c r="B3" t="s">
        <v>76</v>
      </c>
    </row>
    <row r="4" spans="2:2" x14ac:dyDescent="0.35">
      <c r="B4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FCBA-1D54-482E-91FD-AB828DC8C16F}">
  <dimension ref="A1:B14"/>
  <sheetViews>
    <sheetView workbookViewId="0">
      <selection activeCell="B15" sqref="B15"/>
    </sheetView>
  </sheetViews>
  <sheetFormatPr defaultRowHeight="14.5" x14ac:dyDescent="0.35"/>
  <cols>
    <col min="1" max="1" width="5.08984375" bestFit="1" customWidth="1"/>
  </cols>
  <sheetData>
    <row r="1" spans="1:2" x14ac:dyDescent="0.35">
      <c r="A1" s="2" t="s">
        <v>14</v>
      </c>
    </row>
    <row r="2" spans="1:2" x14ac:dyDescent="0.35">
      <c r="B2" t="s">
        <v>58</v>
      </c>
    </row>
    <row r="3" spans="1:2" x14ac:dyDescent="0.35">
      <c r="B3" t="s">
        <v>60</v>
      </c>
    </row>
    <row r="4" spans="1:2" x14ac:dyDescent="0.35">
      <c r="B4" t="s">
        <v>59</v>
      </c>
    </row>
    <row r="5" spans="1:2" x14ac:dyDescent="0.35">
      <c r="B5" t="s">
        <v>61</v>
      </c>
    </row>
    <row r="6" spans="1:2" x14ac:dyDescent="0.35">
      <c r="B6" t="s">
        <v>62</v>
      </c>
    </row>
    <row r="8" spans="1:2" x14ac:dyDescent="0.35">
      <c r="B8" t="s">
        <v>69</v>
      </c>
    </row>
    <row r="9" spans="1:2" x14ac:dyDescent="0.35">
      <c r="B9" t="s">
        <v>70</v>
      </c>
    </row>
    <row r="10" spans="1:2" x14ac:dyDescent="0.35">
      <c r="B10" t="s">
        <v>71</v>
      </c>
    </row>
    <row r="11" spans="1:2" x14ac:dyDescent="0.35">
      <c r="B11" t="s">
        <v>72</v>
      </c>
    </row>
    <row r="12" spans="1:2" x14ac:dyDescent="0.35">
      <c r="B12" t="s">
        <v>73</v>
      </c>
    </row>
    <row r="13" spans="1:2" x14ac:dyDescent="0.35">
      <c r="B13" t="s">
        <v>74</v>
      </c>
    </row>
    <row r="14" spans="1:2" x14ac:dyDescent="0.35">
      <c r="B14" t="s">
        <v>75</v>
      </c>
    </row>
  </sheetData>
  <hyperlinks>
    <hyperlink ref="A1" location="Main!A1" display="Main" xr:uid="{2A28D2D3-B79B-49FD-9CA0-38ABF37B49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Niktimvo</vt:lpstr>
      <vt:lpstr>Revuforj</vt:lpstr>
      <vt:lpstr>Literature</vt:lpstr>
      <vt:lpstr>Leukemia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2025-08-06T22:34:50Z</dcterms:modified>
</cp:coreProperties>
</file>