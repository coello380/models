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C452071E-8D71-44E9-B2C9-F5576A48028D}" xr6:coauthVersionLast="47" xr6:coauthVersionMax="47" xr10:uidLastSave="{00000000-0000-0000-0000-000000000000}"/>
  <bookViews>
    <workbookView xWindow="15400" yWindow="5040" windowWidth="16620" windowHeight="13490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" i="2" l="1"/>
  <c r="T20" i="2" s="1"/>
  <c r="R20" i="2"/>
  <c r="S24" i="2" l="1"/>
  <c r="R24" i="2"/>
  <c r="Q24" i="2"/>
  <c r="R1" i="2"/>
  <c r="S1" i="2" s="1"/>
  <c r="T1" i="2" s="1"/>
  <c r="U1" i="2" s="1"/>
  <c r="V1" i="2" s="1"/>
  <c r="W1" i="2" s="1"/>
  <c r="X1" i="2" s="1"/>
  <c r="Y1" i="2" s="1"/>
  <c r="Z1" i="2" s="1"/>
  <c r="AA1" i="2" s="1"/>
  <c r="Q1" i="2"/>
  <c r="M32" i="2"/>
  <c r="L32" i="2"/>
  <c r="L24" i="2"/>
  <c r="M24" i="2"/>
  <c r="L15" i="2"/>
  <c r="L11" i="2"/>
  <c r="L9" i="2"/>
  <c r="L12" i="2" s="1"/>
  <c r="L16" i="2" s="1"/>
  <c r="L20" i="2" s="1"/>
  <c r="M18" i="2"/>
  <c r="M15" i="2"/>
  <c r="M9" i="2"/>
  <c r="M12" i="2" s="1"/>
  <c r="M16" i="2" s="1"/>
  <c r="M20" i="2" s="1"/>
  <c r="N24" i="2" s="1"/>
  <c r="L7" i="2"/>
  <c r="M7" i="2"/>
  <c r="C18" i="2"/>
  <c r="C9" i="2"/>
  <c r="C12" i="2" s="1"/>
  <c r="C16" i="2" s="1"/>
  <c r="G18" i="2"/>
  <c r="G9" i="2"/>
  <c r="G12" i="2" s="1"/>
  <c r="G16" i="2" s="1"/>
  <c r="G20" i="2" s="1"/>
  <c r="E18" i="2"/>
  <c r="I18" i="2"/>
  <c r="D18" i="2"/>
  <c r="D9" i="2"/>
  <c r="D12" i="2" s="1"/>
  <c r="D16" i="2" s="1"/>
  <c r="D20" i="2" s="1"/>
  <c r="H18" i="2"/>
  <c r="H9" i="2"/>
  <c r="H12" i="2" s="1"/>
  <c r="H16" i="2" s="1"/>
  <c r="H20" i="2" s="1"/>
  <c r="Q9" i="1"/>
  <c r="Q8" i="1"/>
  <c r="O24" i="2"/>
  <c r="P24" i="2"/>
  <c r="E9" i="2"/>
  <c r="E12" i="2" s="1"/>
  <c r="E16" i="2" s="1"/>
  <c r="I9" i="2"/>
  <c r="I12" i="2" s="1"/>
  <c r="I16" i="2" s="1"/>
  <c r="I7" i="1"/>
  <c r="I6" i="1"/>
  <c r="I5" i="1"/>
  <c r="I4" i="1"/>
  <c r="H8" i="1"/>
  <c r="P32" i="2"/>
  <c r="O32" i="2"/>
  <c r="N32" i="2"/>
  <c r="N9" i="2"/>
  <c r="N12" i="2" s="1"/>
  <c r="N16" i="2" s="1"/>
  <c r="N20" i="2" s="1"/>
  <c r="O9" i="2"/>
  <c r="O12" i="2" s="1"/>
  <c r="O16" i="2" s="1"/>
  <c r="P7" i="2"/>
  <c r="P9" i="2" s="1"/>
  <c r="P12" i="2" s="1"/>
  <c r="P16" i="2" s="1"/>
  <c r="P20" i="2" s="1"/>
  <c r="O7" i="2"/>
  <c r="Q6" i="1"/>
  <c r="C20" i="2" l="1"/>
  <c r="I20" i="2"/>
  <c r="E20" i="2"/>
  <c r="O20" i="2"/>
  <c r="U20" i="2" l="1"/>
  <c r="T24" i="2"/>
  <c r="V20" i="2" l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AG20" i="2" s="1"/>
  <c r="AH20" i="2" s="1"/>
  <c r="AI20" i="2" s="1"/>
  <c r="AJ20" i="2" s="1"/>
  <c r="AK20" i="2" s="1"/>
  <c r="AL20" i="2" s="1"/>
  <c r="AM20" i="2" s="1"/>
  <c r="AN20" i="2" s="1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BK20" i="2" s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J20" i="2" s="1"/>
  <c r="CK20" i="2" s="1"/>
  <c r="X28" i="2" l="1"/>
  <c r="X29" i="2" s="1"/>
</calcChain>
</file>

<file path=xl/sharedStrings.xml><?xml version="1.0" encoding="utf-8"?>
<sst xmlns="http://schemas.openxmlformats.org/spreadsheetml/2006/main" count="61" uniqueCount="59">
  <si>
    <t>Price</t>
  </si>
  <si>
    <t>Shares</t>
  </si>
  <si>
    <t>MC</t>
  </si>
  <si>
    <t>Cash</t>
  </si>
  <si>
    <t>Debt</t>
  </si>
  <si>
    <t>EV</t>
  </si>
  <si>
    <t>Q123</t>
  </si>
  <si>
    <t>Q223</t>
  </si>
  <si>
    <t>Q323</t>
  </si>
  <si>
    <t>Q423</t>
  </si>
  <si>
    <t>Segmetns</t>
  </si>
  <si>
    <t>Cryo Tank Solutions</t>
  </si>
  <si>
    <t>Heat Transfer Systems</t>
  </si>
  <si>
    <t>Specialty Products</t>
  </si>
  <si>
    <t>Repair, Service &amp; Leasing</t>
  </si>
  <si>
    <t>Cryo tank solutions</t>
  </si>
  <si>
    <t>Heat transfer systems</t>
  </si>
  <si>
    <t>Specialty products</t>
  </si>
  <si>
    <t>Repair, service &amp; leasing</t>
  </si>
  <si>
    <t>Intersegment eliminations</t>
  </si>
  <si>
    <t>operating margin</t>
  </si>
  <si>
    <t>proportion of sales</t>
  </si>
  <si>
    <t>Sales</t>
  </si>
  <si>
    <t>COGS</t>
  </si>
  <si>
    <t>Gross profit</t>
  </si>
  <si>
    <t>SG&amp;A</t>
  </si>
  <si>
    <t>Amortization</t>
  </si>
  <si>
    <t>Operating Income</t>
  </si>
  <si>
    <t>Acquisition related finance fees</t>
  </si>
  <si>
    <t>Interest expense, net</t>
  </si>
  <si>
    <t>Other expense (income), net</t>
  </si>
  <si>
    <t>Income before tax</t>
  </si>
  <si>
    <t>Income tax</t>
  </si>
  <si>
    <t>Equity in (loss) earnings of unconsolidates affiliates</t>
  </si>
  <si>
    <t>discontinued operations</t>
  </si>
  <si>
    <t>Net income</t>
  </si>
  <si>
    <t>CFO</t>
  </si>
  <si>
    <t>Capex</t>
  </si>
  <si>
    <t>FCF</t>
  </si>
  <si>
    <t>Gerography split</t>
  </si>
  <si>
    <t>North America</t>
  </si>
  <si>
    <t>Europe, Middle East, Africa and India</t>
  </si>
  <si>
    <t>Asia-Pacific</t>
  </si>
  <si>
    <t>Rest</t>
  </si>
  <si>
    <t>Total</t>
  </si>
  <si>
    <t>Q324</t>
  </si>
  <si>
    <t>y/y</t>
  </si>
  <si>
    <t>4Q24</t>
  </si>
  <si>
    <t>PP&amp;E</t>
  </si>
  <si>
    <t>Q224</t>
  </si>
  <si>
    <t>Q124</t>
  </si>
  <si>
    <t>Discontinued operations in 2020 were unusually high</t>
  </si>
  <si>
    <t>Why has revenue increased so much in 2023? Likely due to an acquisition</t>
  </si>
  <si>
    <t>In 2022 debt increased substantially</t>
  </si>
  <si>
    <t>Discount</t>
  </si>
  <si>
    <t>Terminal</t>
  </si>
  <si>
    <t>ROIC</t>
  </si>
  <si>
    <t>NPV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</si>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</sst>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4" fontId="0" fillId="0" borderId="0" xfId="0" applyNumberFormat="1"/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0" fontId="2" fillId="0" borderId="0" xfId="0" applyFont="1"/>
    <xf numFmtId="4" fontId="2" fillId="0" borderId="0" xfId="0" applyNumberFormat="1" applyFont="1"/>
    <xf numFmtId="9" fontId="0" fillId="0" borderId="0" xfId="1" applyFont="1"/>
    <xf numFmtId="8" fontId="0" fillId="0" borderId="0" xfId="0" applyNumberFormat="1"/>
    <xf numFmtId="8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12700</xdr:colOff>
      <xdr:row>1</xdr:row>
      <xdr:rowOff>25400</xdr:rowOff>
    </xdr:from>
    <xdr:to>
      <xdr:col>16</xdr:col>
      <xdr:colOff>25400</xdr:colOff>
      <xdr:row>31</xdr:row>
      <xdr:rowOff>63500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BA69195-AD44-13F2-44E4-68667EE7C615}"/>
            </a:ext>
          </a:extLst>
        </xdr:cNvPr>
        <xdr:cNvCxnSpPr/>
      </xdr:nvCxnSpPr>
      <xdr:spPr>
        <a:xfrm>
          <a:off x="9766300" y="209550"/>
          <a:ext cx="12700" cy="5562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R14"/>
  <sheetViews>
    <sheetView topLeftCell="F1" workbookViewId="0">
      <selection activeCell="Q5" sqref="Q5"/>
    </sheetView>
  </sheetViews>
  <sheetFormatPr defaultRowHeight="14.5" x14ac:dyDescent="0.35"/>
  <cols>
    <col min="4" max="4" width="16.7265625" bestFit="1" customWidth="1"/>
    <col min="7" max="7" width="31.90625" bestFit="1" customWidth="1"/>
    <col min="17" max="17" width="8.7265625" bestFit="1" customWidth="1"/>
  </cols>
  <sheetData>
    <row r="3" spans="2:18" x14ac:dyDescent="0.35">
      <c r="B3" t="s">
        <v>10</v>
      </c>
      <c r="D3" t="s">
        <v>21</v>
      </c>
      <c r="E3" t="s">
        <v>20</v>
      </c>
      <c r="G3" t="s">
        <v>39</v>
      </c>
    </row>
    <row r="4" spans="2:18" x14ac:dyDescent="0.35">
      <c r="C4" t="s">
        <v>11</v>
      </c>
      <c r="D4" s="3">
        <v>0.153</v>
      </c>
      <c r="E4" s="4">
        <v>8.35</v>
      </c>
      <c r="G4" t="s">
        <v>40</v>
      </c>
      <c r="H4">
        <v>1889.9</v>
      </c>
      <c r="I4" s="4">
        <f>H4/$H$8</f>
        <v>0.45427012475061895</v>
      </c>
      <c r="P4" t="s">
        <v>0</v>
      </c>
      <c r="Q4">
        <v>120</v>
      </c>
    </row>
    <row r="5" spans="2:18" x14ac:dyDescent="0.35">
      <c r="C5" t="s">
        <v>12</v>
      </c>
      <c r="D5" s="3">
        <v>0.249</v>
      </c>
      <c r="E5" s="3">
        <v>0.19700000000000001</v>
      </c>
      <c r="G5" t="s">
        <v>41</v>
      </c>
      <c r="H5">
        <v>1245</v>
      </c>
      <c r="I5" s="4">
        <f t="shared" ref="I5:I7" si="0">H5/$H$8</f>
        <v>0.29925726510107442</v>
      </c>
      <c r="P5" t="s">
        <v>1</v>
      </c>
      <c r="Q5" s="2">
        <v>45688</v>
      </c>
      <c r="R5" t="s">
        <v>47</v>
      </c>
    </row>
    <row r="6" spans="2:18" x14ac:dyDescent="0.35">
      <c r="C6" t="s">
        <v>13</v>
      </c>
      <c r="D6" s="3">
        <v>0.26800000000000002</v>
      </c>
      <c r="E6" s="3">
        <v>0.14599999999999999</v>
      </c>
      <c r="G6" t="s">
        <v>42</v>
      </c>
      <c r="H6">
        <v>906.7</v>
      </c>
      <c r="I6" s="4">
        <f t="shared" si="0"/>
        <v>0.21794101386919212</v>
      </c>
      <c r="P6" t="s">
        <v>2</v>
      </c>
      <c r="Q6" s="2">
        <f>Q5*Q4</f>
        <v>5482560</v>
      </c>
    </row>
    <row r="7" spans="2:18" x14ac:dyDescent="0.35">
      <c r="C7" t="s">
        <v>14</v>
      </c>
      <c r="D7" s="4">
        <v>0.33</v>
      </c>
      <c r="E7" s="3">
        <v>0.19800000000000001</v>
      </c>
      <c r="G7" t="s">
        <v>43</v>
      </c>
      <c r="H7">
        <v>118.7</v>
      </c>
      <c r="I7" s="4">
        <f t="shared" si="0"/>
        <v>2.8531596279114488E-2</v>
      </c>
      <c r="P7" t="s">
        <v>3</v>
      </c>
      <c r="Q7">
        <v>308</v>
      </c>
      <c r="R7" t="s">
        <v>47</v>
      </c>
    </row>
    <row r="8" spans="2:18" x14ac:dyDescent="0.35">
      <c r="G8" t="s">
        <v>44</v>
      </c>
      <c r="H8">
        <f>SUM(H4:H7)</f>
        <v>4160.3</v>
      </c>
      <c r="P8" t="s">
        <v>4</v>
      </c>
      <c r="Q8">
        <f>0.9+3640</f>
        <v>3640.9</v>
      </c>
      <c r="R8" t="s">
        <v>47</v>
      </c>
    </row>
    <row r="9" spans="2:18" x14ac:dyDescent="0.35">
      <c r="P9" t="s">
        <v>5</v>
      </c>
      <c r="Q9" s="2">
        <f>Q6-Q7+Q8</f>
        <v>5485892.9000000004</v>
      </c>
    </row>
    <row r="12" spans="2:18" x14ac:dyDescent="0.35">
      <c r="D12" t="s">
        <v>51</v>
      </c>
    </row>
    <row r="13" spans="2:18" x14ac:dyDescent="0.35">
      <c r="D13" t="s">
        <v>52</v>
      </c>
    </row>
    <row r="14" spans="2:18" x14ac:dyDescent="0.35">
      <c r="D1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D9B5-F740-474D-A9A6-81ADAEF90710}">
  <dimension ref="A1:XFD32"/>
  <sheetViews>
    <sheetView tabSelected="1" zoomScaleNormal="100" workbookViewId="0">
      <pane xSplit="1" ySplit="1" topLeftCell="L8" activePane="bottomRight" state="frozen"/>
      <selection pane="topRight" activeCell="B1" sqref="B1"/>
      <selection pane="bottomLeft" activeCell="A2" sqref="A2"/>
      <selection pane="bottomRight" activeCell="X32" sqref="X32"/>
    </sheetView>
  </sheetViews>
  <sheetFormatPr defaultRowHeight="14.5" x14ac:dyDescent="0.35"/>
  <cols>
    <col min="15" max="15" width="8.7265625" style="1"/>
    <col min="24" max="24" width="10.453125" bestFit="1" customWidth="1"/>
  </cols>
  <sheetData>
    <row r="1" spans="1:27" x14ac:dyDescent="0.35">
      <c r="C1" t="s">
        <v>6</v>
      </c>
      <c r="D1" t="s">
        <v>7</v>
      </c>
      <c r="E1" t="s">
        <v>8</v>
      </c>
      <c r="F1" t="s">
        <v>9</v>
      </c>
      <c r="G1" t="s">
        <v>50</v>
      </c>
      <c r="H1" t="s">
        <v>49</v>
      </c>
      <c r="I1" t="s">
        <v>45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f>P1+1</f>
        <v>2025</v>
      </c>
      <c r="R1">
        <f t="shared" ref="R1:AA1" si="0">Q1+1</f>
        <v>2026</v>
      </c>
      <c r="S1">
        <f t="shared" si="0"/>
        <v>2027</v>
      </c>
      <c r="T1">
        <f t="shared" si="0"/>
        <v>2028</v>
      </c>
      <c r="U1">
        <f t="shared" si="0"/>
        <v>2029</v>
      </c>
      <c r="V1">
        <f t="shared" si="0"/>
        <v>2030</v>
      </c>
      <c r="W1">
        <f t="shared" si="0"/>
        <v>2031</v>
      </c>
      <c r="X1">
        <f t="shared" si="0"/>
        <v>2032</v>
      </c>
      <c r="Y1">
        <f t="shared" si="0"/>
        <v>2033</v>
      </c>
      <c r="Z1">
        <f t="shared" si="0"/>
        <v>2034</v>
      </c>
      <c r="AA1">
        <f t="shared" si="0"/>
        <v>2035</v>
      </c>
    </row>
    <row r="2" spans="1:27" x14ac:dyDescent="0.35">
      <c r="A2" t="s">
        <v>15</v>
      </c>
      <c r="I2" s="1"/>
      <c r="L2" s="1">
        <v>415.8</v>
      </c>
      <c r="M2" s="1">
        <v>447.4</v>
      </c>
      <c r="N2" s="1">
        <v>504.3</v>
      </c>
      <c r="O2" s="1">
        <v>640</v>
      </c>
      <c r="P2" s="1">
        <v>637</v>
      </c>
    </row>
    <row r="3" spans="1:27" x14ac:dyDescent="0.35">
      <c r="A3" t="s">
        <v>16</v>
      </c>
      <c r="I3" s="1"/>
      <c r="L3" s="1">
        <v>369.8</v>
      </c>
      <c r="M3" s="1">
        <v>262.7</v>
      </c>
      <c r="N3" s="1">
        <v>462.7</v>
      </c>
      <c r="O3" s="1">
        <v>891.2</v>
      </c>
      <c r="P3" s="1">
        <v>1035.3</v>
      </c>
    </row>
    <row r="4" spans="1:27" x14ac:dyDescent="0.35">
      <c r="A4" t="s">
        <v>17</v>
      </c>
      <c r="I4" s="1"/>
      <c r="L4" s="1">
        <v>242.6</v>
      </c>
      <c r="M4" s="1">
        <v>432.9</v>
      </c>
      <c r="N4" s="1">
        <v>448.3</v>
      </c>
      <c r="O4" s="1">
        <v>819.9</v>
      </c>
      <c r="P4" s="1">
        <v>1114.3</v>
      </c>
    </row>
    <row r="5" spans="1:27" x14ac:dyDescent="0.35">
      <c r="A5" t="s">
        <v>18</v>
      </c>
      <c r="I5" s="1"/>
      <c r="L5" s="1">
        <v>158.30000000000001</v>
      </c>
      <c r="M5" s="1">
        <v>187</v>
      </c>
      <c r="N5" s="1">
        <v>209.6</v>
      </c>
      <c r="O5" s="1">
        <v>1029.2</v>
      </c>
      <c r="P5" s="1">
        <v>1373</v>
      </c>
    </row>
    <row r="6" spans="1:27" x14ac:dyDescent="0.35">
      <c r="A6" t="s">
        <v>19</v>
      </c>
      <c r="I6" s="1"/>
      <c r="L6" s="1">
        <v>-9.4</v>
      </c>
      <c r="M6" s="1">
        <v>-12.3</v>
      </c>
      <c r="N6" s="1">
        <v>-12.5</v>
      </c>
      <c r="O6" s="1">
        <v>-28.6</v>
      </c>
      <c r="P6" s="1">
        <v>0.1</v>
      </c>
    </row>
    <row r="7" spans="1:27" x14ac:dyDescent="0.35">
      <c r="A7" t="s">
        <v>22</v>
      </c>
      <c r="C7">
        <v>531.5</v>
      </c>
      <c r="D7">
        <v>908.1</v>
      </c>
      <c r="E7">
        <v>897.9</v>
      </c>
      <c r="G7" s="6">
        <v>950.7</v>
      </c>
      <c r="H7" s="6">
        <v>1040.3</v>
      </c>
      <c r="I7" s="6">
        <v>1062.5</v>
      </c>
      <c r="L7" s="6">
        <f>SUM(L2:L6)</f>
        <v>1177.0999999999999</v>
      </c>
      <c r="M7" s="6">
        <f>SUM(M2:M6)</f>
        <v>1317.7</v>
      </c>
      <c r="N7" s="6">
        <v>1612.4</v>
      </c>
      <c r="O7" s="6">
        <f>SUM(O2:O6)</f>
        <v>3351.7000000000003</v>
      </c>
      <c r="P7" s="6">
        <f>SUM(P2:P6)</f>
        <v>4159.7000000000007</v>
      </c>
    </row>
    <row r="8" spans="1:27" x14ac:dyDescent="0.35">
      <c r="A8" t="s">
        <v>23</v>
      </c>
      <c r="C8">
        <v>382.2</v>
      </c>
      <c r="D8">
        <v>627.5</v>
      </c>
      <c r="E8">
        <v>621.70000000000005</v>
      </c>
      <c r="G8" s="1">
        <v>648.4</v>
      </c>
      <c r="H8" s="1">
        <v>688.7</v>
      </c>
      <c r="I8" s="1">
        <v>699.9</v>
      </c>
      <c r="L8" s="1">
        <v>845</v>
      </c>
      <c r="M8" s="1">
        <v>993.5</v>
      </c>
      <c r="N8" s="1">
        <v>1205</v>
      </c>
      <c r="O8" s="1">
        <v>2312</v>
      </c>
      <c r="P8" s="1">
        <v>2771</v>
      </c>
    </row>
    <row r="9" spans="1:27" x14ac:dyDescent="0.35">
      <c r="A9" t="s">
        <v>24</v>
      </c>
      <c r="C9" s="6">
        <f>C7-C8</f>
        <v>149.30000000000001</v>
      </c>
      <c r="D9" s="6">
        <f>D7-D8</f>
        <v>280.60000000000002</v>
      </c>
      <c r="E9" s="6">
        <f>E7-E8</f>
        <v>276.19999999999993</v>
      </c>
      <c r="G9" s="6">
        <f>G7-G8</f>
        <v>302.30000000000007</v>
      </c>
      <c r="H9" s="6">
        <f>H7-H8</f>
        <v>351.59999999999991</v>
      </c>
      <c r="I9" s="6">
        <f>I7-I8</f>
        <v>362.6</v>
      </c>
      <c r="L9" s="6">
        <f>L7-L8</f>
        <v>332.09999999999991</v>
      </c>
      <c r="M9" s="6">
        <f>M7-M8</f>
        <v>324.20000000000005</v>
      </c>
      <c r="N9" s="6">
        <f>N7-N8</f>
        <v>407.40000000000009</v>
      </c>
      <c r="O9" s="6">
        <f>O7-O8</f>
        <v>1039.7000000000003</v>
      </c>
      <c r="P9" s="6">
        <f>P7-P8</f>
        <v>1388.7000000000007</v>
      </c>
    </row>
    <row r="10" spans="1:27" x14ac:dyDescent="0.35">
      <c r="A10" t="s">
        <v>25</v>
      </c>
      <c r="C10" s="1">
        <v>92.9</v>
      </c>
      <c r="D10" s="1">
        <v>140.69999999999999</v>
      </c>
      <c r="E10" s="1">
        <v>122.8</v>
      </c>
      <c r="G10" s="1">
        <v>141.5</v>
      </c>
      <c r="H10" s="1">
        <v>136.19999999999999</v>
      </c>
      <c r="I10" s="1">
        <v>135.69999999999999</v>
      </c>
      <c r="L10" s="1">
        <v>178.2</v>
      </c>
      <c r="M10" s="1">
        <v>196.8</v>
      </c>
      <c r="N10" s="1">
        <v>214.5</v>
      </c>
      <c r="O10" s="1">
        <v>486</v>
      </c>
      <c r="P10" s="1">
        <v>547</v>
      </c>
    </row>
    <row r="11" spans="1:27" x14ac:dyDescent="0.35">
      <c r="A11" t="s">
        <v>26</v>
      </c>
      <c r="C11">
        <v>21.8</v>
      </c>
      <c r="D11">
        <v>44.2</v>
      </c>
      <c r="E11">
        <v>49</v>
      </c>
      <c r="G11">
        <v>47.9</v>
      </c>
      <c r="H11">
        <v>47.6</v>
      </c>
      <c r="I11">
        <v>48.4</v>
      </c>
      <c r="L11" s="1">
        <f>45.7+16</f>
        <v>61.7</v>
      </c>
      <c r="M11" s="1">
        <v>38.9</v>
      </c>
      <c r="N11" s="1">
        <v>41.4</v>
      </c>
      <c r="O11" s="1">
        <v>163.4</v>
      </c>
      <c r="P11" s="1">
        <v>193.9</v>
      </c>
    </row>
    <row r="12" spans="1:27" x14ac:dyDescent="0.35">
      <c r="A12" t="s">
        <v>27</v>
      </c>
      <c r="C12" s="6">
        <f>C9-C10-C11</f>
        <v>34.600000000000009</v>
      </c>
      <c r="D12" s="6">
        <f>D9-D10-D11</f>
        <v>95.700000000000031</v>
      </c>
      <c r="E12" s="6">
        <f>E9-E10-E11</f>
        <v>104.39999999999992</v>
      </c>
      <c r="G12" s="6">
        <f>G9-G10-G11</f>
        <v>112.90000000000006</v>
      </c>
      <c r="H12" s="6">
        <f>H9-H10-H11</f>
        <v>167.79999999999993</v>
      </c>
      <c r="I12" s="6">
        <f>I9-I10-I11</f>
        <v>178.50000000000003</v>
      </c>
      <c r="L12" s="6">
        <f>L9-L10-L11</f>
        <v>92.199999999999918</v>
      </c>
      <c r="M12" s="6">
        <f>M9-M10-M11</f>
        <v>88.500000000000028</v>
      </c>
      <c r="N12" s="6">
        <f>N9-N10-N11</f>
        <v>151.50000000000009</v>
      </c>
      <c r="O12" s="6">
        <f>O9-O10-O11</f>
        <v>390.3000000000003</v>
      </c>
      <c r="P12" s="6">
        <f>P9-P10-P11</f>
        <v>647.80000000000075</v>
      </c>
    </row>
    <row r="13" spans="1:27" x14ac:dyDescent="0.35">
      <c r="A13" t="s">
        <v>28</v>
      </c>
      <c r="C13">
        <v>26.1</v>
      </c>
      <c r="D13">
        <v>0</v>
      </c>
      <c r="E13">
        <v>0</v>
      </c>
      <c r="G13">
        <v>0</v>
      </c>
      <c r="H13">
        <v>0</v>
      </c>
      <c r="I13">
        <v>0</v>
      </c>
      <c r="L13" s="1">
        <v>0</v>
      </c>
      <c r="M13" s="1">
        <v>0</v>
      </c>
      <c r="N13" s="1">
        <v>37</v>
      </c>
      <c r="O13" s="1">
        <v>26.1</v>
      </c>
      <c r="P13" s="1">
        <v>0</v>
      </c>
    </row>
    <row r="14" spans="1:27" x14ac:dyDescent="0.35">
      <c r="A14" t="s">
        <v>29</v>
      </c>
      <c r="C14">
        <v>28.3</v>
      </c>
      <c r="D14">
        <v>83.9</v>
      </c>
      <c r="E14">
        <v>90.5</v>
      </c>
      <c r="G14">
        <v>83.8</v>
      </c>
      <c r="H14">
        <v>84.3</v>
      </c>
      <c r="I14">
        <v>80.599999999999994</v>
      </c>
      <c r="L14" s="1">
        <v>17.7</v>
      </c>
      <c r="M14" s="1">
        <v>10.7</v>
      </c>
      <c r="N14" s="1">
        <v>31.7</v>
      </c>
      <c r="O14" s="1">
        <v>289</v>
      </c>
      <c r="P14" s="1">
        <v>328.5</v>
      </c>
    </row>
    <row r="15" spans="1:27" x14ac:dyDescent="0.35">
      <c r="A15" t="s">
        <v>30</v>
      </c>
      <c r="C15">
        <v>1.7</v>
      </c>
      <c r="D15">
        <v>1.3</v>
      </c>
      <c r="E15">
        <v>3.4</v>
      </c>
      <c r="G15">
        <v>3.2</v>
      </c>
      <c r="H15">
        <v>3.6</v>
      </c>
      <c r="I15">
        <v>-2.6</v>
      </c>
      <c r="L15" s="1">
        <f>4.3-13.1+0.9-5+2.2</f>
        <v>-10.7</v>
      </c>
      <c r="M15" s="1">
        <f>8.3-3.2-2.6+0.9+0.3</f>
        <v>3.7</v>
      </c>
      <c r="N15" s="1">
        <v>-16.100000000000001</v>
      </c>
      <c r="O15" s="1">
        <v>17.5</v>
      </c>
      <c r="P15" s="1">
        <v>0.5</v>
      </c>
    </row>
    <row r="16" spans="1:27" x14ac:dyDescent="0.35">
      <c r="A16" t="s">
        <v>31</v>
      </c>
      <c r="C16" s="6">
        <f>C12-C14-C15-C13</f>
        <v>-21.499999999999993</v>
      </c>
      <c r="D16" s="6">
        <f>D12-D14-D15-D13</f>
        <v>10.500000000000025</v>
      </c>
      <c r="E16" s="6">
        <f>E12-E14-E15-E13</f>
        <v>10.49999999999992</v>
      </c>
      <c r="G16" s="6">
        <f>G12-G14-G15-G13</f>
        <v>25.900000000000066</v>
      </c>
      <c r="H16" s="6">
        <f>H12-H14-H15-H13</f>
        <v>79.899999999999935</v>
      </c>
      <c r="I16" s="6">
        <f>I12-I14-I15-I13</f>
        <v>100.50000000000003</v>
      </c>
      <c r="L16" s="6">
        <f>L12-L14-L15-L13</f>
        <v>85.199999999999918</v>
      </c>
      <c r="M16" s="6">
        <f>M12-M14-M15-M13</f>
        <v>74.100000000000023</v>
      </c>
      <c r="N16" s="6">
        <f>N12-N14-N15-N13</f>
        <v>98.900000000000091</v>
      </c>
      <c r="O16" s="6">
        <f>O12-O14-O15-O13</f>
        <v>57.700000000000294</v>
      </c>
      <c r="P16" s="6">
        <f>P12-P14-P15</f>
        <v>318.80000000000075</v>
      </c>
    </row>
    <row r="17" spans="1:89 16384:16384" customFormat="1" x14ac:dyDescent="0.35">
      <c r="A17" t="s">
        <v>32</v>
      </c>
      <c r="C17">
        <v>-6.7</v>
      </c>
      <c r="D17">
        <v>2.4</v>
      </c>
      <c r="E17">
        <v>0.1</v>
      </c>
      <c r="G17">
        <v>8.8000000000000007</v>
      </c>
      <c r="H17">
        <v>15.5</v>
      </c>
      <c r="I17">
        <v>26.6</v>
      </c>
      <c r="L17" s="1">
        <v>14.9</v>
      </c>
      <c r="M17" s="1">
        <v>13.5</v>
      </c>
      <c r="N17" s="1">
        <v>15.9</v>
      </c>
      <c r="O17" s="1">
        <v>3</v>
      </c>
      <c r="P17" s="1">
        <v>78.599999999999994</v>
      </c>
    </row>
    <row r="18" spans="1:89 16384:16384" customFormat="1" x14ac:dyDescent="0.35">
      <c r="A18" t="s">
        <v>33</v>
      </c>
      <c r="C18" s="1">
        <f>-0.4-0.7</f>
        <v>-1.1000000000000001</v>
      </c>
      <c r="D18" s="1">
        <f>1.5-3</f>
        <v>-1.5</v>
      </c>
      <c r="E18" s="1">
        <f>1.3-2.3</f>
        <v>-0.99999999999999978</v>
      </c>
      <c r="G18" s="1">
        <f>-0.3-3.3</f>
        <v>-3.5999999999999996</v>
      </c>
      <c r="H18" s="1">
        <f>-4.3-1.3</f>
        <v>-5.6</v>
      </c>
      <c r="I18" s="1">
        <f>-3.7-0.8</f>
        <v>-4.5</v>
      </c>
      <c r="L18" s="1">
        <v>-1.4</v>
      </c>
      <c r="M18" s="1">
        <f>0.3-1.8</f>
        <v>-1.5</v>
      </c>
      <c r="N18" s="1">
        <v>-0.4</v>
      </c>
      <c r="O18" s="1">
        <v>2.5</v>
      </c>
      <c r="P18" s="1">
        <v>-3.6</v>
      </c>
    </row>
    <row r="19" spans="1:89 16384:16384" customFormat="1" x14ac:dyDescent="0.35">
      <c r="A19" t="s">
        <v>34</v>
      </c>
      <c r="C19" s="1">
        <v>0.9</v>
      </c>
      <c r="D19" s="1">
        <v>2.5</v>
      </c>
      <c r="E19" s="1">
        <v>-6</v>
      </c>
      <c r="G19" s="1">
        <v>-2.2000000000000002</v>
      </c>
      <c r="H19" s="1">
        <v>-0.2</v>
      </c>
      <c r="I19" s="1">
        <v>-0.4</v>
      </c>
      <c r="L19" s="1">
        <v>239.2</v>
      </c>
      <c r="M19" s="1">
        <v>0</v>
      </c>
      <c r="N19" s="1">
        <v>-57.6</v>
      </c>
      <c r="O19" s="1">
        <v>0.6</v>
      </c>
      <c r="P19" s="1">
        <v>-3.5</v>
      </c>
    </row>
    <row r="20" spans="1:89 16384:16384" s="5" customFormat="1" x14ac:dyDescent="0.35">
      <c r="A20" t="s">
        <v>35</v>
      </c>
      <c r="B20"/>
      <c r="C20" s="6">
        <f>C16-C17+C18+C19</f>
        <v>-14.999999999999993</v>
      </c>
      <c r="D20" s="6">
        <f>D16-D17+D18+D19</f>
        <v>9.1000000000000245</v>
      </c>
      <c r="E20" s="6">
        <f>E16-E17+E18+E19</f>
        <v>3.3999999999999204</v>
      </c>
      <c r="F20"/>
      <c r="G20" s="6">
        <f>G16-G17+G18+G19</f>
        <v>11.300000000000065</v>
      </c>
      <c r="H20" s="6">
        <f>H16-H17+H18+H19</f>
        <v>58.59999999999993</v>
      </c>
      <c r="I20" s="6">
        <f>I16-I17+I18+I19</f>
        <v>69.000000000000028</v>
      </c>
      <c r="J20"/>
      <c r="K20"/>
      <c r="L20" s="6">
        <f>L16-L17+L18+L19</f>
        <v>308.09999999999991</v>
      </c>
      <c r="M20" s="6">
        <f>M16-M17+M18+M19</f>
        <v>59.100000000000023</v>
      </c>
      <c r="N20" s="6">
        <f>N16-N17+N18+N19</f>
        <v>25.000000000000078</v>
      </c>
      <c r="O20" s="6">
        <f>O16-O17+O18+O19</f>
        <v>57.800000000000296</v>
      </c>
      <c r="P20" s="6">
        <f>P16-P17+P18+P19</f>
        <v>233.10000000000076</v>
      </c>
      <c r="Q20">
        <v>400</v>
      </c>
      <c r="R20">
        <f>Q20*1.33</f>
        <v>532</v>
      </c>
      <c r="S20">
        <f>R20*1.15</f>
        <v>611.79999999999995</v>
      </c>
      <c r="T20">
        <f>S20*1.15</f>
        <v>703.56999999999994</v>
      </c>
      <c r="U20" s="5">
        <f t="shared" ref="U20:CF20" si="1">T20*1.03</f>
        <v>724.6771</v>
      </c>
      <c r="V20" s="5">
        <f t="shared" si="1"/>
        <v>746.41741300000001</v>
      </c>
      <c r="W20" s="5">
        <f t="shared" si="1"/>
        <v>768.80993539000008</v>
      </c>
      <c r="X20" s="5">
        <f t="shared" si="1"/>
        <v>791.87423345170009</v>
      </c>
      <c r="Y20" s="5">
        <f t="shared" si="1"/>
        <v>815.63046045525107</v>
      </c>
      <c r="Z20" s="5">
        <f t="shared" si="1"/>
        <v>840.0993742689086</v>
      </c>
      <c r="AA20" s="5">
        <f t="shared" si="1"/>
        <v>865.30235549697591</v>
      </c>
      <c r="AB20" s="5">
        <f t="shared" si="1"/>
        <v>891.2614261618852</v>
      </c>
      <c r="AC20" s="5">
        <f t="shared" si="1"/>
        <v>917.99926894674172</v>
      </c>
      <c r="AD20" s="5">
        <f t="shared" si="1"/>
        <v>945.53924701514404</v>
      </c>
      <c r="AE20" s="5">
        <f t="shared" si="1"/>
        <v>973.90542442559843</v>
      </c>
      <c r="AF20" s="5">
        <f t="shared" si="1"/>
        <v>1003.1225871583664</v>
      </c>
      <c r="AG20" s="5">
        <f t="shared" si="1"/>
        <v>1033.2162647731175</v>
      </c>
      <c r="AH20" s="5">
        <f t="shared" si="1"/>
        <v>1064.2127527163111</v>
      </c>
      <c r="AI20" s="5">
        <f t="shared" si="1"/>
        <v>1096.1391352978005</v>
      </c>
      <c r="AJ20" s="5">
        <f t="shared" si="1"/>
        <v>1129.0233093567347</v>
      </c>
      <c r="AK20" s="5">
        <f t="shared" si="1"/>
        <v>1162.8940086374369</v>
      </c>
      <c r="AL20" s="5">
        <f t="shared" si="1"/>
        <v>1197.78082889656</v>
      </c>
      <c r="AM20" s="5">
        <f t="shared" si="1"/>
        <v>1233.7142537634568</v>
      </c>
      <c r="AN20" s="5">
        <f t="shared" si="1"/>
        <v>1270.7256813763606</v>
      </c>
      <c r="AO20" s="5">
        <f t="shared" si="1"/>
        <v>1308.8474518176515</v>
      </c>
      <c r="AP20" s="5">
        <f t="shared" si="1"/>
        <v>1348.1128753721812</v>
      </c>
      <c r="AQ20" s="5">
        <f t="shared" si="1"/>
        <v>1388.5562616333466</v>
      </c>
      <c r="AR20" s="5">
        <f t="shared" si="1"/>
        <v>1430.2129494823471</v>
      </c>
      <c r="AS20" s="5">
        <f t="shared" si="1"/>
        <v>1473.1193379668175</v>
      </c>
      <c r="AT20" s="5">
        <f t="shared" si="1"/>
        <v>1517.3129181058221</v>
      </c>
      <c r="AU20" s="5">
        <f t="shared" si="1"/>
        <v>1562.8323056489967</v>
      </c>
      <c r="AV20" s="5">
        <f t="shared" si="1"/>
        <v>1609.7172748184666</v>
      </c>
      <c r="AW20" s="5">
        <f t="shared" si="1"/>
        <v>1658.0087930630207</v>
      </c>
      <c r="AX20" s="5">
        <f t="shared" si="1"/>
        <v>1707.7490568549113</v>
      </c>
      <c r="AY20" s="5">
        <f t="shared" si="1"/>
        <v>1758.9815285605587</v>
      </c>
      <c r="AZ20" s="5">
        <f t="shared" si="1"/>
        <v>1811.7509744173756</v>
      </c>
      <c r="BA20" s="5">
        <f t="shared" si="1"/>
        <v>1866.103503649897</v>
      </c>
      <c r="BB20" s="5">
        <f t="shared" si="1"/>
        <v>1922.086608759394</v>
      </c>
      <c r="BC20" s="5">
        <f t="shared" si="1"/>
        <v>1979.7492070221758</v>
      </c>
      <c r="BD20" s="5">
        <f t="shared" si="1"/>
        <v>2039.1416832328412</v>
      </c>
      <c r="BE20" s="5">
        <f t="shared" si="1"/>
        <v>2100.3159337298266</v>
      </c>
      <c r="BF20" s="5">
        <f t="shared" si="1"/>
        <v>2163.3254117417214</v>
      </c>
      <c r="BG20" s="5">
        <f t="shared" si="1"/>
        <v>2228.2251740939732</v>
      </c>
      <c r="BH20" s="5">
        <f t="shared" si="1"/>
        <v>2295.0719293167926</v>
      </c>
      <c r="BI20" s="5">
        <f t="shared" si="1"/>
        <v>2363.9240871962966</v>
      </c>
      <c r="BJ20" s="5">
        <f t="shared" si="1"/>
        <v>2434.8418098121856</v>
      </c>
      <c r="BK20" s="5">
        <f t="shared" si="1"/>
        <v>2507.8870641065514</v>
      </c>
      <c r="BL20" s="5">
        <f t="shared" si="1"/>
        <v>2583.1236760297479</v>
      </c>
      <c r="BM20" s="5">
        <f t="shared" si="1"/>
        <v>2660.6173863106405</v>
      </c>
      <c r="BN20" s="5">
        <f t="shared" si="1"/>
        <v>2740.4359078999596</v>
      </c>
      <c r="BO20" s="5">
        <f t="shared" si="1"/>
        <v>2822.6489851369583</v>
      </c>
      <c r="BP20" s="5">
        <f t="shared" si="1"/>
        <v>2907.3284546910672</v>
      </c>
      <c r="BQ20" s="5">
        <f t="shared" si="1"/>
        <v>2994.5483083317995</v>
      </c>
      <c r="BR20" s="5">
        <f t="shared" si="1"/>
        <v>3084.3847575817535</v>
      </c>
      <c r="BS20" s="5">
        <f t="shared" si="1"/>
        <v>3176.9163003092062</v>
      </c>
      <c r="BT20" s="5">
        <f t="shared" si="1"/>
        <v>3272.2237893184824</v>
      </c>
      <c r="BU20" s="5">
        <f t="shared" si="1"/>
        <v>3370.3905029980369</v>
      </c>
      <c r="BV20" s="5">
        <f t="shared" si="1"/>
        <v>3471.5022180879782</v>
      </c>
      <c r="BW20" s="5">
        <f t="shared" si="1"/>
        <v>3575.6472846306178</v>
      </c>
      <c r="BX20" s="5">
        <f t="shared" si="1"/>
        <v>3682.9167031695365</v>
      </c>
      <c r="BY20" s="5">
        <f t="shared" si="1"/>
        <v>3793.4042042646229</v>
      </c>
      <c r="BZ20" s="5">
        <f t="shared" si="1"/>
        <v>3907.2063303925615</v>
      </c>
      <c r="CA20" s="5">
        <f t="shared" si="1"/>
        <v>4024.4225203043384</v>
      </c>
      <c r="CB20" s="5">
        <f t="shared" si="1"/>
        <v>4145.1551959134686</v>
      </c>
      <c r="CC20" s="5">
        <f t="shared" si="1"/>
        <v>4269.5098517908727</v>
      </c>
      <c r="CD20" s="5">
        <f t="shared" si="1"/>
        <v>4397.5951473445994</v>
      </c>
      <c r="CE20" s="5">
        <f t="shared" si="1"/>
        <v>4529.5230017649374</v>
      </c>
      <c r="CF20" s="5">
        <f t="shared" si="1"/>
        <v>4665.4086918178855</v>
      </c>
      <c r="CG20" s="5">
        <f t="shared" ref="CG20:ER20" si="2">CF20*1.03</f>
        <v>4805.3709525724225</v>
      </c>
      <c r="CH20" s="5">
        <f t="shared" si="2"/>
        <v>4949.5320811495958</v>
      </c>
      <c r="CI20" s="5">
        <f t="shared" si="2"/>
        <v>5098.0180435840839</v>
      </c>
      <c r="CJ20" s="5">
        <f t="shared" si="2"/>
        <v>5250.9585848916067</v>
      </c>
      <c r="CK20" s="5">
        <f t="shared" si="2"/>
        <v>5408.487342438355</v>
      </c>
      <c r="XFD20" s="6"/>
    </row>
    <row r="21" spans="1:89 16384:16384" customFormat="1" x14ac:dyDescent="0.35">
      <c r="O21" s="1"/>
    </row>
    <row r="24" spans="1:89 16384:16384" x14ac:dyDescent="0.35">
      <c r="A24" t="s">
        <v>46</v>
      </c>
      <c r="L24" t="e">
        <f>L20/K20-1</f>
        <v>#DIV/0!</v>
      </c>
      <c r="M24" s="4">
        <f>M20/L20-1</f>
        <v>-0.80817916260954226</v>
      </c>
      <c r="N24" s="4">
        <f>N20/M20-1</f>
        <v>-0.57698815566835759</v>
      </c>
      <c r="O24" s="7">
        <f>O20/N20-1</f>
        <v>1.3120000000000047</v>
      </c>
      <c r="P24" s="7">
        <f>P20/O20-1</f>
        <v>3.0328719723183317</v>
      </c>
      <c r="Q24" s="7">
        <f>Q20/P20-1</f>
        <v>0.71600171600171048</v>
      </c>
      <c r="R24" s="7">
        <f>R20/Q20-1</f>
        <v>0.33000000000000007</v>
      </c>
      <c r="S24" s="7">
        <f>S20/R20-1</f>
        <v>0.14999999999999991</v>
      </c>
      <c r="T24" s="7">
        <f>T20/S20-1</f>
        <v>0.14999999999999991</v>
      </c>
    </row>
    <row r="25" spans="1:89 16384:16384" x14ac:dyDescent="0.35">
      <c r="W25" t="s">
        <v>55</v>
      </c>
      <c r="X25" s="4">
        <v>0.03</v>
      </c>
    </row>
    <row r="26" spans="1:89 16384:16384" x14ac:dyDescent="0.35">
      <c r="W26" t="s">
        <v>54</v>
      </c>
      <c r="X26" s="4">
        <v>7.0000000000000007E-2</v>
      </c>
    </row>
    <row r="27" spans="1:89 16384:16384" x14ac:dyDescent="0.35">
      <c r="A27" t="s">
        <v>48</v>
      </c>
      <c r="M27">
        <v>416</v>
      </c>
      <c r="N27">
        <v>430</v>
      </c>
      <c r="O27" s="1">
        <v>356.9</v>
      </c>
      <c r="P27">
        <v>420.9</v>
      </c>
      <c r="W27" t="s">
        <v>56</v>
      </c>
    </row>
    <row r="28" spans="1:89 16384:16384" x14ac:dyDescent="0.35">
      <c r="W28" t="s">
        <v>57</v>
      </c>
      <c r="X28" s="8">
        <f>NPV(X26,Q20:XFD20)+main!Q7-main!Q8</f>
        <v>11365.753332359927</v>
      </c>
    </row>
    <row r="29" spans="1:89 16384:16384" x14ac:dyDescent="0.35">
      <c r="W29" t="s">
        <v>58</v>
      </c>
      <c r="X29" s="9">
        <f>X28/45.6</f>
        <v>249.24897658684051</v>
      </c>
    </row>
    <row r="30" spans="1:89 16384:16384" x14ac:dyDescent="0.35">
      <c r="A30" t="s">
        <v>36</v>
      </c>
      <c r="L30">
        <v>172.7</v>
      </c>
      <c r="M30">
        <v>-21.3</v>
      </c>
      <c r="N30">
        <v>80.8</v>
      </c>
      <c r="O30" s="1">
        <v>167.2</v>
      </c>
      <c r="P30">
        <v>503</v>
      </c>
    </row>
    <row r="31" spans="1:89 16384:16384" x14ac:dyDescent="0.35">
      <c r="A31" t="s">
        <v>37</v>
      </c>
      <c r="L31">
        <v>37.9</v>
      </c>
      <c r="M31">
        <v>-52.7</v>
      </c>
      <c r="N31">
        <v>74.2</v>
      </c>
      <c r="O31" s="1">
        <v>135.6</v>
      </c>
      <c r="P31">
        <v>120.8</v>
      </c>
    </row>
    <row r="32" spans="1:89 16384:16384" x14ac:dyDescent="0.35">
      <c r="A32" t="s">
        <v>38</v>
      </c>
      <c r="L32">
        <f>L30-L31</f>
        <v>134.79999999999998</v>
      </c>
      <c r="M32">
        <f>M30+M31</f>
        <v>-74</v>
      </c>
      <c r="N32">
        <f>N30-N31</f>
        <v>6.5999999999999943</v>
      </c>
      <c r="O32">
        <f t="shared" ref="O32:P32" si="3">O30-O31</f>
        <v>31.599999999999994</v>
      </c>
      <c r="P32">
        <f t="shared" si="3"/>
        <v>382.2</v>
      </c>
      <c r="X32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2025-04-11T11:45:34Z</dcterms:modified>
</cp:coreProperties>
</file>