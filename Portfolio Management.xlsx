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F6E69469-0409-434A-92F4-B2A99D8FF83F}" xr6:coauthVersionLast="47" xr6:coauthVersionMax="47" xr10:uidLastSave="{00000000-0000-0000-0000-000000000000}"/>
  <bookViews>
    <workbookView xWindow="7670" yWindow="3490" windowWidth="28800" windowHeight="15370" xr2:uid="{00000000-000D-0000-FFFF-FFFF00000000}"/>
  </bookViews>
  <sheets>
    <sheet name="main" sheetId="1" r:id="rId1"/>
    <sheet name="expected returns" sheetId="4" r:id="rId2"/>
    <sheet name="adv port mg" sheetId="3" r:id="rId3"/>
    <sheet name="beta estimato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1" i="2" l="1"/>
  <c r="J250" i="2"/>
  <c r="J249" i="2"/>
  <c r="J248" i="2" s="1"/>
  <c r="J247" i="2" s="1"/>
  <c r="J246" i="2" s="1"/>
  <c r="J245" i="2" s="1"/>
  <c r="J244" i="2" s="1"/>
  <c r="J243" i="2" s="1"/>
  <c r="J242" i="2" s="1"/>
  <c r="J241" i="2" s="1"/>
  <c r="J240" i="2" s="1"/>
  <c r="J239" i="2" s="1"/>
  <c r="J238" i="2" s="1"/>
  <c r="J237" i="2" s="1"/>
  <c r="J236" i="2" s="1"/>
  <c r="J235" i="2" s="1"/>
  <c r="J234" i="2" s="1"/>
  <c r="J233" i="2" s="1"/>
  <c r="J232" i="2" s="1"/>
  <c r="J231" i="2" s="1"/>
  <c r="J230" i="2" s="1"/>
  <c r="J229" i="2" s="1"/>
  <c r="J228" i="2" s="1"/>
  <c r="J227" i="2" s="1"/>
  <c r="J226" i="2" s="1"/>
  <c r="J225" i="2" s="1"/>
  <c r="J224" i="2" s="1"/>
  <c r="J223" i="2" s="1"/>
  <c r="J222" i="2" s="1"/>
  <c r="J221" i="2" s="1"/>
  <c r="J220" i="2" s="1"/>
  <c r="J219" i="2" s="1"/>
  <c r="J218" i="2" s="1"/>
  <c r="J217" i="2" s="1"/>
  <c r="J216" i="2" s="1"/>
  <c r="J215" i="2" s="1"/>
  <c r="J214" i="2" s="1"/>
  <c r="J213" i="2" s="1"/>
  <c r="J212" i="2" s="1"/>
  <c r="J211" i="2" s="1"/>
  <c r="J210" i="2" s="1"/>
  <c r="J209" i="2" s="1"/>
  <c r="J208" i="2" s="1"/>
  <c r="J207" i="2" s="1"/>
  <c r="J206" i="2" s="1"/>
  <c r="J205" i="2" s="1"/>
  <c r="J204" i="2" s="1"/>
  <c r="J203" i="2" s="1"/>
  <c r="J202" i="2" s="1"/>
  <c r="J201" i="2" s="1"/>
  <c r="J200" i="2" s="1"/>
  <c r="J199" i="2" s="1"/>
  <c r="J198" i="2" s="1"/>
  <c r="J197" i="2" s="1"/>
  <c r="J196" i="2" s="1"/>
  <c r="J195" i="2" s="1"/>
  <c r="J194" i="2" s="1"/>
  <c r="J193" i="2" s="1"/>
  <c r="J192" i="2" s="1"/>
  <c r="J191" i="2" s="1"/>
  <c r="J190" i="2" s="1"/>
  <c r="J189" i="2" s="1"/>
  <c r="J188" i="2" s="1"/>
  <c r="J187" i="2" s="1"/>
  <c r="J186" i="2" s="1"/>
  <c r="J185" i="2" s="1"/>
  <c r="J184" i="2" s="1"/>
  <c r="J183" i="2" s="1"/>
  <c r="J182" i="2" s="1"/>
  <c r="J181" i="2" s="1"/>
  <c r="J180" i="2" s="1"/>
  <c r="J179" i="2" s="1"/>
  <c r="J178" i="2" s="1"/>
  <c r="J177" i="2" s="1"/>
  <c r="J176" i="2" s="1"/>
  <c r="J175" i="2" s="1"/>
  <c r="J174" i="2" s="1"/>
  <c r="J173" i="2" s="1"/>
  <c r="J172" i="2" s="1"/>
  <c r="J171" i="2" s="1"/>
  <c r="J170" i="2" s="1"/>
  <c r="J169" i="2" s="1"/>
  <c r="J168" i="2" s="1"/>
  <c r="J167" i="2" s="1"/>
  <c r="J166" i="2" s="1"/>
  <c r="J165" i="2" s="1"/>
  <c r="J164" i="2" s="1"/>
  <c r="J163" i="2" s="1"/>
  <c r="J162" i="2" s="1"/>
  <c r="J161" i="2" s="1"/>
  <c r="J160" i="2" s="1"/>
  <c r="J159" i="2" s="1"/>
  <c r="J158" i="2" s="1"/>
  <c r="J157" i="2" s="1"/>
  <c r="J156" i="2" s="1"/>
  <c r="J155" i="2" s="1"/>
  <c r="J154" i="2" s="1"/>
  <c r="J153" i="2" s="1"/>
  <c r="J152" i="2" s="1"/>
  <c r="J151" i="2" s="1"/>
  <c r="J150" i="2" s="1"/>
  <c r="J149" i="2" s="1"/>
  <c r="J148" i="2" s="1"/>
  <c r="J147" i="2" s="1"/>
  <c r="J146" i="2" s="1"/>
  <c r="J145" i="2" s="1"/>
  <c r="J144" i="2" s="1"/>
  <c r="J143" i="2" s="1"/>
  <c r="J142" i="2" s="1"/>
  <c r="J141" i="2" s="1"/>
  <c r="J140" i="2" s="1"/>
  <c r="J139" i="2" s="1"/>
  <c r="J138" i="2" s="1"/>
  <c r="J137" i="2" s="1"/>
  <c r="J136" i="2" s="1"/>
  <c r="J135" i="2" s="1"/>
  <c r="J134" i="2" s="1"/>
  <c r="J133" i="2" s="1"/>
  <c r="J132" i="2" s="1"/>
  <c r="J131" i="2" s="1"/>
  <c r="J130" i="2" s="1"/>
  <c r="J129" i="2" s="1"/>
  <c r="J128" i="2" s="1"/>
  <c r="J127" i="2" s="1"/>
  <c r="J126" i="2" s="1"/>
  <c r="J125" i="2" s="1"/>
  <c r="J124" i="2" s="1"/>
  <c r="J123" i="2" s="1"/>
  <c r="J122" i="2" s="1"/>
  <c r="J121" i="2" s="1"/>
  <c r="J120" i="2" s="1"/>
  <c r="J119" i="2" s="1"/>
  <c r="J118" i="2" s="1"/>
  <c r="J117" i="2" s="1"/>
  <c r="J116" i="2" s="1"/>
  <c r="J115" i="2" s="1"/>
  <c r="J114" i="2" s="1"/>
  <c r="J113" i="2" s="1"/>
  <c r="J112" i="2" s="1"/>
  <c r="J111" i="2" s="1"/>
  <c r="J110" i="2" s="1"/>
  <c r="J109" i="2" s="1"/>
  <c r="J108" i="2" s="1"/>
  <c r="J107" i="2" s="1"/>
  <c r="J106" i="2" s="1"/>
  <c r="J105" i="2" s="1"/>
  <c r="J104" i="2" s="1"/>
  <c r="J103" i="2" s="1"/>
  <c r="J102" i="2" s="1"/>
  <c r="J101" i="2" s="1"/>
  <c r="J100" i="2" s="1"/>
  <c r="J99" i="2" s="1"/>
  <c r="J98" i="2" s="1"/>
  <c r="J97" i="2" s="1"/>
  <c r="J96" i="2" s="1"/>
  <c r="J95" i="2" s="1"/>
  <c r="J94" i="2" s="1"/>
  <c r="J93" i="2" s="1"/>
  <c r="J92" i="2" s="1"/>
  <c r="J91" i="2" s="1"/>
  <c r="J90" i="2" s="1"/>
  <c r="J89" i="2" s="1"/>
  <c r="J88" i="2" s="1"/>
  <c r="J87" i="2" s="1"/>
  <c r="J86" i="2" s="1"/>
  <c r="J85" i="2" s="1"/>
  <c r="J84" i="2" s="1"/>
  <c r="J83" i="2" s="1"/>
  <c r="J82" i="2" s="1"/>
  <c r="J81" i="2" s="1"/>
  <c r="J80" i="2" s="1"/>
  <c r="J79" i="2" s="1"/>
  <c r="J78" i="2" s="1"/>
  <c r="J77" i="2" s="1"/>
  <c r="J76" i="2" s="1"/>
  <c r="J75" i="2" s="1"/>
  <c r="J74" i="2" s="1"/>
  <c r="J73" i="2" s="1"/>
  <c r="J72" i="2" s="1"/>
  <c r="J71" i="2" s="1"/>
  <c r="J70" i="2" s="1"/>
  <c r="J69" i="2" s="1"/>
  <c r="J68" i="2" s="1"/>
  <c r="J67" i="2" s="1"/>
  <c r="J66" i="2" s="1"/>
  <c r="J65" i="2" s="1"/>
  <c r="J64" i="2" s="1"/>
  <c r="J63" i="2" s="1"/>
  <c r="J62" i="2" s="1"/>
  <c r="J61" i="2" s="1"/>
  <c r="J60" i="2" s="1"/>
  <c r="J59" i="2" s="1"/>
  <c r="J58" i="2" s="1"/>
  <c r="J57" i="2" s="1"/>
  <c r="J56" i="2" s="1"/>
  <c r="J55" i="2" s="1"/>
  <c r="J54" i="2" s="1"/>
  <c r="J53" i="2" s="1"/>
  <c r="J52" i="2" s="1"/>
  <c r="J51" i="2" s="1"/>
  <c r="J50" i="2" s="1"/>
  <c r="J49" i="2" s="1"/>
  <c r="J48" i="2" s="1"/>
  <c r="J47" i="2" s="1"/>
  <c r="J46" i="2" s="1"/>
  <c r="J45" i="2" s="1"/>
  <c r="J44" i="2" s="1"/>
  <c r="J43" i="2" s="1"/>
  <c r="J42" i="2" s="1"/>
  <c r="J41" i="2" s="1"/>
  <c r="J40" i="2" s="1"/>
  <c r="J39" i="2" s="1"/>
  <c r="J38" i="2" s="1"/>
  <c r="J37" i="2" s="1"/>
  <c r="J36" i="2" s="1"/>
  <c r="J35" i="2" s="1"/>
  <c r="J34" i="2" s="1"/>
  <c r="J33" i="2" s="1"/>
  <c r="J32" i="2" s="1"/>
  <c r="J31" i="2" s="1"/>
  <c r="J30" i="2" s="1"/>
  <c r="J29" i="2" s="1"/>
  <c r="J28" i="2" s="1"/>
  <c r="J27" i="2" s="1"/>
  <c r="J26" i="2" s="1"/>
  <c r="J25" i="2" s="1"/>
  <c r="J24" i="2" s="1"/>
  <c r="J23" i="2" s="1"/>
  <c r="J22" i="2" s="1"/>
  <c r="J21" i="2" s="1"/>
  <c r="J20" i="2" s="1"/>
  <c r="J19" i="2" s="1"/>
  <c r="J18" i="2" s="1"/>
  <c r="J17" i="2" s="1"/>
  <c r="J16" i="2" s="1"/>
  <c r="J15" i="2" s="1"/>
  <c r="J14" i="2" s="1"/>
  <c r="J13" i="2" s="1"/>
  <c r="J12" i="2" s="1"/>
  <c r="J11" i="2" s="1"/>
  <c r="J10" i="2" s="1"/>
  <c r="J9" i="2" s="1"/>
  <c r="J8" i="2" s="1"/>
  <c r="J7" i="2" s="1"/>
  <c r="J6" i="2" s="1"/>
  <c r="J5" i="2" s="1"/>
  <c r="J4" i="2" s="1"/>
  <c r="F251" i="2"/>
  <c r="F250" i="2" s="1"/>
  <c r="F249" i="2" s="1"/>
  <c r="F248" i="2" s="1"/>
  <c r="F247" i="2" s="1"/>
  <c r="F246" i="2" s="1"/>
  <c r="F245" i="2" s="1"/>
  <c r="F244" i="2" s="1"/>
  <c r="F243" i="2" s="1"/>
  <c r="F242" i="2" s="1"/>
  <c r="F241" i="2" s="1"/>
  <c r="F240" i="2" s="1"/>
  <c r="F239" i="2" s="1"/>
  <c r="F238" i="2" s="1"/>
  <c r="F237" i="2" s="1"/>
  <c r="F236" i="2" s="1"/>
  <c r="F235" i="2" s="1"/>
  <c r="F234" i="2" s="1"/>
  <c r="F233" i="2" s="1"/>
  <c r="F232" i="2" s="1"/>
  <c r="F231" i="2" s="1"/>
  <c r="F230" i="2" s="1"/>
  <c r="F229" i="2" s="1"/>
  <c r="F228" i="2" s="1"/>
  <c r="F227" i="2" s="1"/>
  <c r="F226" i="2" s="1"/>
  <c r="F225" i="2" s="1"/>
  <c r="F224" i="2" s="1"/>
  <c r="F223" i="2" s="1"/>
  <c r="F222" i="2" s="1"/>
  <c r="F221" i="2" s="1"/>
  <c r="F220" i="2" s="1"/>
  <c r="F219" i="2" s="1"/>
  <c r="F218" i="2" s="1"/>
  <c r="F217" i="2" s="1"/>
  <c r="F216" i="2" s="1"/>
  <c r="F215" i="2" s="1"/>
  <c r="F214" i="2" s="1"/>
  <c r="F213" i="2" s="1"/>
  <c r="F212" i="2" s="1"/>
  <c r="F211" i="2" s="1"/>
  <c r="F210" i="2" s="1"/>
  <c r="F209" i="2" s="1"/>
  <c r="F208" i="2" s="1"/>
  <c r="F207" i="2" s="1"/>
  <c r="F206" i="2" s="1"/>
  <c r="F205" i="2" s="1"/>
  <c r="F204" i="2" s="1"/>
  <c r="F203" i="2" s="1"/>
  <c r="F202" i="2" s="1"/>
  <c r="F201" i="2" s="1"/>
  <c r="F200" i="2" s="1"/>
  <c r="F199" i="2" s="1"/>
  <c r="F198" i="2" s="1"/>
  <c r="F197" i="2" s="1"/>
  <c r="F196" i="2" s="1"/>
  <c r="F195" i="2" s="1"/>
  <c r="F194" i="2" s="1"/>
  <c r="F193" i="2" s="1"/>
  <c r="F192" i="2" s="1"/>
  <c r="F191" i="2" s="1"/>
  <c r="F190" i="2" s="1"/>
  <c r="F189" i="2" s="1"/>
  <c r="F188" i="2" s="1"/>
  <c r="F187" i="2" s="1"/>
  <c r="F186" i="2" s="1"/>
  <c r="F185" i="2" s="1"/>
  <c r="F184" i="2" s="1"/>
  <c r="F183" i="2" s="1"/>
  <c r="F182" i="2" s="1"/>
  <c r="F181" i="2" s="1"/>
  <c r="F180" i="2" s="1"/>
  <c r="F179" i="2" s="1"/>
  <c r="F178" i="2" s="1"/>
  <c r="F177" i="2" s="1"/>
  <c r="F176" i="2" s="1"/>
  <c r="F175" i="2" s="1"/>
  <c r="F174" i="2" s="1"/>
  <c r="F173" i="2" s="1"/>
  <c r="F172" i="2" s="1"/>
  <c r="F171" i="2" s="1"/>
  <c r="F170" i="2" s="1"/>
  <c r="F169" i="2" s="1"/>
  <c r="F168" i="2" s="1"/>
  <c r="F167" i="2" s="1"/>
  <c r="F166" i="2" s="1"/>
  <c r="F165" i="2" s="1"/>
  <c r="F164" i="2" s="1"/>
  <c r="F163" i="2" s="1"/>
  <c r="F162" i="2" s="1"/>
  <c r="F161" i="2" s="1"/>
  <c r="F160" i="2" s="1"/>
  <c r="F159" i="2" s="1"/>
  <c r="F158" i="2" s="1"/>
  <c r="F157" i="2" s="1"/>
  <c r="F156" i="2" s="1"/>
  <c r="F155" i="2" s="1"/>
  <c r="F154" i="2" s="1"/>
  <c r="F153" i="2" s="1"/>
  <c r="F152" i="2" s="1"/>
  <c r="F151" i="2" s="1"/>
  <c r="F150" i="2" s="1"/>
  <c r="F149" i="2" s="1"/>
  <c r="F148" i="2" s="1"/>
  <c r="F147" i="2" s="1"/>
  <c r="F146" i="2" s="1"/>
  <c r="F145" i="2" s="1"/>
  <c r="F144" i="2" s="1"/>
  <c r="F143" i="2" s="1"/>
  <c r="F142" i="2" s="1"/>
  <c r="F141" i="2" s="1"/>
  <c r="F140" i="2" s="1"/>
  <c r="F139" i="2" s="1"/>
  <c r="F138" i="2" s="1"/>
  <c r="F137" i="2" s="1"/>
  <c r="F136" i="2" s="1"/>
  <c r="F135" i="2" s="1"/>
  <c r="F134" i="2" s="1"/>
  <c r="F133" i="2" s="1"/>
  <c r="F132" i="2" s="1"/>
  <c r="F131" i="2" s="1"/>
  <c r="F130" i="2" s="1"/>
  <c r="F129" i="2" s="1"/>
  <c r="F128" i="2" s="1"/>
  <c r="F127" i="2" s="1"/>
  <c r="F126" i="2" s="1"/>
  <c r="F125" i="2" s="1"/>
  <c r="F124" i="2" s="1"/>
  <c r="F123" i="2" s="1"/>
  <c r="F122" i="2" s="1"/>
  <c r="F121" i="2" s="1"/>
  <c r="F120" i="2" s="1"/>
  <c r="F119" i="2" s="1"/>
  <c r="F118" i="2" s="1"/>
  <c r="F117" i="2" s="1"/>
  <c r="F116" i="2" s="1"/>
  <c r="F115" i="2" s="1"/>
  <c r="F114" i="2" s="1"/>
  <c r="F113" i="2" s="1"/>
  <c r="F112" i="2" s="1"/>
  <c r="F111" i="2" s="1"/>
  <c r="F110" i="2" s="1"/>
  <c r="F109" i="2" s="1"/>
  <c r="F108" i="2" s="1"/>
  <c r="F107" i="2" s="1"/>
  <c r="F106" i="2" s="1"/>
  <c r="F105" i="2" s="1"/>
  <c r="F104" i="2" s="1"/>
  <c r="F103" i="2" s="1"/>
  <c r="F102" i="2" s="1"/>
  <c r="F101" i="2" s="1"/>
  <c r="F100" i="2" s="1"/>
  <c r="F99" i="2" s="1"/>
  <c r="F98" i="2" s="1"/>
  <c r="F97" i="2" s="1"/>
  <c r="F96" i="2" s="1"/>
  <c r="F95" i="2" s="1"/>
  <c r="F94" i="2" s="1"/>
  <c r="F93" i="2" s="1"/>
  <c r="F92" i="2" s="1"/>
  <c r="F91" i="2" s="1"/>
  <c r="F90" i="2" s="1"/>
  <c r="F89" i="2" s="1"/>
  <c r="F88" i="2" s="1"/>
  <c r="F87" i="2" s="1"/>
  <c r="F86" i="2" s="1"/>
  <c r="F85" i="2" s="1"/>
  <c r="F84" i="2" s="1"/>
  <c r="F83" i="2" s="1"/>
  <c r="F82" i="2" s="1"/>
  <c r="F81" i="2" s="1"/>
  <c r="F80" i="2" s="1"/>
  <c r="F79" i="2" s="1"/>
  <c r="F78" i="2" s="1"/>
  <c r="F77" i="2" s="1"/>
  <c r="F76" i="2" s="1"/>
  <c r="F75" i="2" s="1"/>
  <c r="F74" i="2" s="1"/>
  <c r="F73" i="2" s="1"/>
  <c r="F72" i="2" s="1"/>
  <c r="F71" i="2" s="1"/>
  <c r="F70" i="2" s="1"/>
  <c r="F69" i="2" s="1"/>
  <c r="F68" i="2" s="1"/>
  <c r="F67" i="2" s="1"/>
  <c r="F66" i="2" s="1"/>
  <c r="F65" i="2" s="1"/>
  <c r="F64" i="2" s="1"/>
  <c r="F63" i="2" s="1"/>
  <c r="F62" i="2" s="1"/>
  <c r="F61" i="2" s="1"/>
  <c r="F60" i="2" s="1"/>
  <c r="F59" i="2" s="1"/>
  <c r="F58" i="2" s="1"/>
  <c r="F57" i="2" s="1"/>
  <c r="F56" i="2" s="1"/>
  <c r="F55" i="2" s="1"/>
  <c r="F54" i="2" s="1"/>
  <c r="F53" i="2" s="1"/>
  <c r="F52" i="2" s="1"/>
  <c r="F51" i="2" s="1"/>
  <c r="F50" i="2" s="1"/>
  <c r="F49" i="2" s="1"/>
  <c r="F48" i="2" s="1"/>
  <c r="F47" i="2" s="1"/>
  <c r="F46" i="2" s="1"/>
  <c r="F45" i="2" s="1"/>
  <c r="F44" i="2" s="1"/>
  <c r="F43" i="2" s="1"/>
  <c r="F42" i="2" s="1"/>
  <c r="F41" i="2" s="1"/>
  <c r="F40" i="2" s="1"/>
  <c r="F39" i="2" s="1"/>
  <c r="F38" i="2" s="1"/>
  <c r="F37" i="2" s="1"/>
  <c r="F36" i="2" s="1"/>
  <c r="F35" i="2" s="1"/>
  <c r="F34" i="2" s="1"/>
  <c r="F33" i="2" s="1"/>
  <c r="F32" i="2" s="1"/>
  <c r="F31" i="2" s="1"/>
  <c r="F30" i="2" s="1"/>
  <c r="F29" i="2" s="1"/>
  <c r="F28" i="2" s="1"/>
  <c r="F27" i="2" s="1"/>
  <c r="F26" i="2" s="1"/>
  <c r="F25" i="2" s="1"/>
  <c r="F24" i="2" s="1"/>
  <c r="F23" i="2" s="1"/>
  <c r="F22" i="2" s="1"/>
  <c r="F21" i="2" s="1"/>
  <c r="F20" i="2" s="1"/>
  <c r="F19" i="2" s="1"/>
  <c r="F18" i="2" s="1"/>
  <c r="F17" i="2" s="1"/>
  <c r="F16" i="2" s="1"/>
  <c r="F15" i="2" s="1"/>
  <c r="F14" i="2" s="1"/>
  <c r="F13" i="2" s="1"/>
  <c r="F12" i="2" s="1"/>
  <c r="F11" i="2" s="1"/>
  <c r="F10" i="2" s="1"/>
  <c r="F9" i="2" s="1"/>
  <c r="F8" i="2" s="1"/>
  <c r="F7" i="2" s="1"/>
  <c r="F6" i="2" s="1"/>
  <c r="F5" i="2" s="1"/>
  <c r="F4" i="2" s="1"/>
  <c r="AK9" i="2"/>
  <c r="AK10" i="2" s="1"/>
  <c r="AK11" i="2"/>
  <c r="AF9" i="2"/>
  <c r="AF11" i="2"/>
  <c r="AF10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M4" i="2" s="1"/>
  <c r="M5" i="2" s="1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L4" i="2"/>
  <c r="H4" i="2"/>
  <c r="D251" i="2"/>
  <c r="B251" i="2" s="1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O4" i="2" s="1" a="1"/>
  <c r="O4" i="2" s="1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250" i="2" l="1"/>
  <c r="B249" i="2" s="1"/>
  <c r="B248" i="2" s="1"/>
  <c r="B247" i="2" s="1"/>
  <c r="B246" i="2" s="1"/>
  <c r="B245" i="2" s="1"/>
  <c r="B244" i="2" s="1"/>
  <c r="B243" i="2" s="1"/>
  <c r="B242" i="2" s="1"/>
  <c r="B241" i="2" s="1"/>
  <c r="B240" i="2" s="1"/>
  <c r="B239" i="2" s="1"/>
  <c r="B238" i="2" s="1"/>
  <c r="B237" i="2" s="1"/>
  <c r="B236" i="2" s="1"/>
  <c r="B235" i="2" s="1"/>
  <c r="B234" i="2" s="1"/>
  <c r="B233" i="2" s="1"/>
  <c r="B232" i="2" s="1"/>
  <c r="B231" i="2" s="1"/>
  <c r="B230" i="2" s="1"/>
  <c r="B229" i="2" s="1"/>
  <c r="B228" i="2" s="1"/>
  <c r="B227" i="2" s="1"/>
  <c r="B226" i="2" s="1"/>
  <c r="B225" i="2" s="1"/>
  <c r="B224" i="2" s="1"/>
  <c r="B223" i="2" s="1"/>
  <c r="B222" i="2" s="1"/>
  <c r="B221" i="2" s="1"/>
  <c r="B220" i="2" s="1"/>
  <c r="B219" i="2" s="1"/>
  <c r="B218" i="2" s="1"/>
  <c r="B217" i="2" s="1"/>
  <c r="B216" i="2" s="1"/>
  <c r="B215" i="2" s="1"/>
  <c r="B214" i="2" s="1"/>
  <c r="B213" i="2" s="1"/>
  <c r="B212" i="2" s="1"/>
  <c r="B211" i="2" s="1"/>
  <c r="B210" i="2" s="1"/>
  <c r="B209" i="2" s="1"/>
  <c r="B208" i="2" s="1"/>
  <c r="B207" i="2" s="1"/>
  <c r="B206" i="2" s="1"/>
  <c r="B205" i="2" s="1"/>
  <c r="B204" i="2" s="1"/>
  <c r="B203" i="2" s="1"/>
  <c r="B202" i="2" s="1"/>
  <c r="B201" i="2" s="1"/>
  <c r="B200" i="2" s="1"/>
  <c r="B199" i="2" s="1"/>
  <c r="B198" i="2" s="1"/>
  <c r="B197" i="2" s="1"/>
  <c r="B196" i="2" s="1"/>
  <c r="B195" i="2" s="1"/>
  <c r="B194" i="2" s="1"/>
  <c r="B193" i="2" s="1"/>
  <c r="B192" i="2" s="1"/>
  <c r="B191" i="2" s="1"/>
  <c r="B190" i="2" s="1"/>
  <c r="B189" i="2" s="1"/>
  <c r="B188" i="2" s="1"/>
  <c r="B187" i="2" s="1"/>
  <c r="B186" i="2" s="1"/>
  <c r="B185" i="2" s="1"/>
  <c r="B184" i="2" s="1"/>
  <c r="B183" i="2" s="1"/>
  <c r="B182" i="2" s="1"/>
  <c r="B181" i="2" s="1"/>
  <c r="B180" i="2" s="1"/>
  <c r="B179" i="2" s="1"/>
  <c r="B178" i="2" s="1"/>
  <c r="B177" i="2" s="1"/>
  <c r="B176" i="2" s="1"/>
  <c r="B175" i="2" s="1"/>
  <c r="B174" i="2" s="1"/>
  <c r="B173" i="2" s="1"/>
  <c r="B172" i="2" s="1"/>
  <c r="B171" i="2" s="1"/>
  <c r="B170" i="2" s="1"/>
  <c r="B169" i="2" s="1"/>
  <c r="B168" i="2" s="1"/>
  <c r="B167" i="2" s="1"/>
  <c r="B166" i="2" s="1"/>
  <c r="B165" i="2" s="1"/>
  <c r="B164" i="2" s="1"/>
  <c r="B163" i="2" s="1"/>
  <c r="B162" i="2" s="1"/>
  <c r="B161" i="2" s="1"/>
  <c r="B160" i="2" s="1"/>
  <c r="B159" i="2" s="1"/>
  <c r="B158" i="2" s="1"/>
  <c r="B157" i="2" s="1"/>
  <c r="B156" i="2" s="1"/>
  <c r="B155" i="2" s="1"/>
  <c r="B154" i="2" s="1"/>
  <c r="B153" i="2" s="1"/>
  <c r="B152" i="2" s="1"/>
  <c r="B151" i="2" s="1"/>
  <c r="B150" i="2" s="1"/>
  <c r="B149" i="2" s="1"/>
  <c r="B148" i="2" s="1"/>
  <c r="B147" i="2" s="1"/>
  <c r="B146" i="2" s="1"/>
  <c r="B145" i="2" s="1"/>
  <c r="B144" i="2" s="1"/>
  <c r="B143" i="2" s="1"/>
  <c r="B142" i="2" s="1"/>
  <c r="B141" i="2" s="1"/>
  <c r="B140" i="2" s="1"/>
  <c r="B139" i="2" s="1"/>
  <c r="B138" i="2" s="1"/>
  <c r="B137" i="2" s="1"/>
  <c r="B136" i="2" s="1"/>
  <c r="B135" i="2" s="1"/>
  <c r="B134" i="2" s="1"/>
  <c r="B133" i="2" s="1"/>
  <c r="B132" i="2" s="1"/>
  <c r="B131" i="2" s="1"/>
  <c r="B130" i="2" s="1"/>
  <c r="B129" i="2" s="1"/>
  <c r="B128" i="2" s="1"/>
  <c r="B127" i="2" s="1"/>
  <c r="B126" i="2" s="1"/>
  <c r="B125" i="2" s="1"/>
  <c r="B124" i="2" s="1"/>
  <c r="B123" i="2" s="1"/>
  <c r="B122" i="2" s="1"/>
  <c r="B121" i="2" s="1"/>
  <c r="B120" i="2" s="1"/>
  <c r="B119" i="2" s="1"/>
  <c r="B118" i="2" s="1"/>
  <c r="B117" i="2" s="1"/>
  <c r="B116" i="2" s="1"/>
  <c r="B115" i="2" s="1"/>
  <c r="B114" i="2" s="1"/>
  <c r="B113" i="2" s="1"/>
  <c r="B112" i="2" s="1"/>
  <c r="B111" i="2" s="1"/>
  <c r="B110" i="2" s="1"/>
  <c r="B109" i="2" s="1"/>
  <c r="B108" i="2" s="1"/>
  <c r="B107" i="2" s="1"/>
  <c r="B106" i="2" s="1"/>
  <c r="B105" i="2" s="1"/>
  <c r="B104" i="2" s="1"/>
  <c r="B103" i="2" s="1"/>
  <c r="B102" i="2" s="1"/>
  <c r="B101" i="2" s="1"/>
  <c r="B100" i="2" s="1"/>
  <c r="B99" i="2" s="1"/>
  <c r="B98" i="2" s="1"/>
  <c r="B97" i="2" s="1"/>
  <c r="B96" i="2" s="1"/>
  <c r="B95" i="2" s="1"/>
  <c r="B94" i="2" s="1"/>
  <c r="B93" i="2" s="1"/>
  <c r="B92" i="2" s="1"/>
  <c r="B91" i="2" s="1"/>
  <c r="B90" i="2" s="1"/>
  <c r="B89" i="2" s="1"/>
  <c r="B88" i="2" s="1"/>
  <c r="B87" i="2" s="1"/>
  <c r="B86" i="2" s="1"/>
  <c r="B85" i="2" s="1"/>
  <c r="B84" i="2" s="1"/>
  <c r="B83" i="2" s="1"/>
  <c r="B82" i="2" s="1"/>
  <c r="B81" i="2" s="1"/>
  <c r="B80" i="2" s="1"/>
  <c r="B79" i="2" s="1"/>
  <c r="B78" i="2" s="1"/>
  <c r="B77" i="2" s="1"/>
  <c r="B76" i="2" s="1"/>
  <c r="B75" i="2" s="1"/>
  <c r="B74" i="2" s="1"/>
  <c r="B73" i="2" s="1"/>
  <c r="B72" i="2" s="1"/>
  <c r="B71" i="2" s="1"/>
  <c r="B70" i="2" s="1"/>
  <c r="B69" i="2" s="1"/>
  <c r="B68" i="2" s="1"/>
  <c r="B67" i="2" s="1"/>
  <c r="B66" i="2" s="1"/>
  <c r="B65" i="2" s="1"/>
  <c r="B64" i="2" s="1"/>
  <c r="B63" i="2" s="1"/>
  <c r="B62" i="2" s="1"/>
  <c r="B61" i="2" s="1"/>
  <c r="B60" i="2" s="1"/>
  <c r="B59" i="2" s="1"/>
  <c r="B58" i="2" s="1"/>
  <c r="B57" i="2" s="1"/>
  <c r="B56" i="2" s="1"/>
  <c r="B55" i="2" s="1"/>
  <c r="B54" i="2" s="1"/>
  <c r="B53" i="2" s="1"/>
  <c r="B52" i="2" s="1"/>
  <c r="B51" i="2" s="1"/>
  <c r="B50" i="2" s="1"/>
  <c r="B49" i="2" s="1"/>
  <c r="B48" i="2" s="1"/>
  <c r="B47" i="2" s="1"/>
  <c r="B46" i="2" s="1"/>
  <c r="B45" i="2" s="1"/>
  <c r="B44" i="2" s="1"/>
  <c r="B43" i="2" s="1"/>
  <c r="B42" i="2" s="1"/>
  <c r="B41" i="2" s="1"/>
  <c r="B40" i="2" s="1"/>
  <c r="B39" i="2" s="1"/>
  <c r="B38" i="2" s="1"/>
  <c r="B37" i="2" s="1"/>
  <c r="B36" i="2" s="1"/>
  <c r="B35" i="2" s="1"/>
  <c r="B34" i="2" s="1"/>
  <c r="B33" i="2" s="1"/>
  <c r="B32" i="2" s="1"/>
  <c r="B31" i="2" s="1"/>
  <c r="B30" i="2" s="1"/>
  <c r="B29" i="2" s="1"/>
  <c r="B28" i="2" s="1"/>
  <c r="B27" i="2" s="1"/>
  <c r="B26" i="2" s="1"/>
  <c r="B25" i="2" s="1"/>
  <c r="B24" i="2" s="1"/>
  <c r="B23" i="2" s="1"/>
  <c r="B22" i="2" s="1"/>
  <c r="B21" i="2" s="1"/>
  <c r="B20" i="2" s="1"/>
  <c r="B19" i="2" s="1"/>
  <c r="B18" i="2" s="1"/>
  <c r="B17" i="2" s="1"/>
  <c r="B16" i="2" s="1"/>
  <c r="B15" i="2" s="1"/>
  <c r="B14" i="2" s="1"/>
  <c r="B13" i="2" s="1"/>
  <c r="B12" i="2" s="1"/>
  <c r="B11" i="2" s="1"/>
  <c r="B10" i="2" s="1"/>
  <c r="B9" i="2" s="1"/>
  <c r="B8" i="2" s="1"/>
  <c r="B7" i="2" s="1"/>
  <c r="B6" i="2" s="1"/>
  <c r="B5" i="2" s="1"/>
  <c r="B4" i="2" s="1"/>
  <c r="E4" i="2"/>
  <c r="R4" i="2" s="1"/>
  <c r="T4" i="2" s="1"/>
  <c r="AF12" i="2"/>
  <c r="I4" i="2"/>
  <c r="I5" i="2" s="1"/>
  <c r="P21" i="2" a="1"/>
  <c r="P21" i="2" s="1"/>
  <c r="P13" i="2" a="1"/>
  <c r="P13" i="2" s="1"/>
  <c r="O6" i="2" a="1"/>
  <c r="O6" i="2" s="1"/>
  <c r="R6" i="2" s="1"/>
  <c r="T6" i="2" s="1"/>
  <c r="AK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<sst xmlns="http://schemas.openxmlformats.org/spreadsheetml/2006/main" count="127" uniqueCount="92">
  <si>
    <t>beta estimator</t>
  </si>
  <si>
    <t>main</t>
  </si>
  <si>
    <t>SPY</t>
  </si>
  <si>
    <t>SRPT</t>
  </si>
  <si>
    <t>SYF</t>
  </si>
  <si>
    <t>Benchmark:</t>
  </si>
  <si>
    <t>Assets:</t>
  </si>
  <si>
    <t>Simple reg</t>
  </si>
  <si>
    <t>SRPT BETA</t>
  </si>
  <si>
    <t>SYF BETA</t>
  </si>
  <si>
    <t>SRPT IDIO VOL</t>
  </si>
  <si>
    <t>SYF IDIO VOL</t>
  </si>
  <si>
    <t>SRPT SYSTEMATIC VAR</t>
  </si>
  <si>
    <t>Slope</t>
  </si>
  <si>
    <t>Std. error of Slope</t>
  </si>
  <si>
    <t>R2</t>
  </si>
  <si>
    <t>F</t>
  </si>
  <si>
    <t>SS</t>
  </si>
  <si>
    <t>SYF SYSTEMATIC VAR</t>
  </si>
  <si>
    <t>beta</t>
  </si>
  <si>
    <t>alpha</t>
  </si>
  <si>
    <t>which is the same as the standard error of SPY on SYF rets</t>
  </si>
  <si>
    <t>SYF REG</t>
  </si>
  <si>
    <t>SRPT REG</t>
  </si>
  <si>
    <t>note:</t>
  </si>
  <si>
    <t>you can get the idiosyncratic vol directly as the standard error of the regression</t>
  </si>
  <si>
    <t>which is also called the root mean squared error, and is interpreted as</t>
  </si>
  <si>
    <t>the share of SRPT's returns not explained by the merket</t>
  </si>
  <si>
    <t>PORT</t>
  </si>
  <si>
    <t>Field</t>
  </si>
  <si>
    <t>Beta</t>
  </si>
  <si>
    <t>Daily market vol (%)</t>
  </si>
  <si>
    <t>Daily idio vol (%)</t>
  </si>
  <si>
    <t>Net Market Value</t>
  </si>
  <si>
    <t>10M</t>
  </si>
  <si>
    <t>5M</t>
  </si>
  <si>
    <t>dollar PORT BETA</t>
  </si>
  <si>
    <t xml:space="preserve">PORT MARKET VOL </t>
  </si>
  <si>
    <t>MIL</t>
  </si>
  <si>
    <t>PORT IDIO VOL</t>
  </si>
  <si>
    <t>PORT TOTAL VOL</t>
  </si>
  <si>
    <t>Compute dollar betas for the individual positions</t>
  </si>
  <si>
    <t>compute the dollar portfolio beta as the sum of the individual betas</t>
  </si>
  <si>
    <t>compute he market component of the volaility as (portfolio beta) * (market volatility)</t>
  </si>
  <si>
    <t>compute the dollar idio volatility as the square root of thesum of the squared dollar volatilities</t>
  </si>
  <si>
    <t>(simple example of performance attribution)</t>
  </si>
  <si>
    <t>Procedure - Compute the volatility of a portfolio</t>
  </si>
  <si>
    <t>Procedure - Compute the market hedge of a portfolio</t>
  </si>
  <si>
    <t>Compute the dollar betas for the individual positions of the unhedged portfolio</t>
  </si>
  <si>
    <t>Compute the dollar portfolio beta as the sum of the individual betas</t>
  </si>
  <si>
    <t>Compute the market hedge NMV, whose value is equal to the opposite of the porfolio beta</t>
  </si>
  <si>
    <t>PORT HEDGED</t>
  </si>
  <si>
    <t>-19M</t>
  </si>
  <si>
    <t>in practice, observations are time weighted, even when estimating  beta</t>
  </si>
  <si>
    <t>usually, we use the horizon of 12 to 4 months</t>
  </si>
  <si>
    <t>an example of a scatter plot:</t>
  </si>
  <si>
    <t>adv port mg</t>
  </si>
  <si>
    <t>Risk models serve four main pursposes</t>
  </si>
  <si>
    <t>1. risk measurement: estimate the voolatility of a portfolio, and from this estimate, the probability of the loss exceeding a ceratin threshold</t>
  </si>
  <si>
    <t>2. reisk decomposition: the risk comes either from common sources (systematic component) or stock-specific sources.</t>
  </si>
  <si>
    <t>3. performance attribution: systematic and idiosyncratic sources of returns determine also the performance, and the entire performance of a book through time</t>
  </si>
  <si>
    <t>can be attributed to a combination of both</t>
  </si>
  <si>
    <t>4. hedging: once the systematic source of risk has been identified, it can be removed without affecting the idiosyncratic sources of return (and risk)</t>
  </si>
  <si>
    <t>3 types of factor models</t>
  </si>
  <si>
    <t>1 fundamental, 2. time series, 3. statistical</t>
  </si>
  <si>
    <t>Fundamental models rely on characteristics of the indicidualstocks and are commonly used by fundamental investors.</t>
  </si>
  <si>
    <t>They described two fearues of returns: 1. their expected returns, 2. their risk</t>
  </si>
  <si>
    <t>Important factors common to many factor models</t>
  </si>
  <si>
    <t>1. Market: Country, beta, Volatility</t>
  </si>
  <si>
    <t>2. Industries: Usually based on external classifications (GICS), occasionally a smaller custom set of factors</t>
  </si>
  <si>
    <t>3. Technical: Momentum and reversal</t>
  </si>
  <si>
    <t>4. Valuation: Value and Growth</t>
  </si>
  <si>
    <t>5. Endogenous: Short Interest, Hedge Fund Holdings</t>
  </si>
  <si>
    <t>Factors havea meanings. They are in relationship with each other and with macroeconomic variables</t>
  </si>
  <si>
    <t>expected returns</t>
  </si>
  <si>
    <t>Procedure 6.1 Estimate expected returns</t>
  </si>
  <si>
    <t>For each stock in your universe:</t>
  </si>
  <si>
    <t>1. Set and investent horizon T, and a price forecast at that horizon</t>
  </si>
  <si>
    <t>2. Compute the forecasted total return at that horizon r(total) = (price forecast) / (current price) - 1</t>
  </si>
  <si>
    <t>3. Estimate industry returns r (industry) over the same horizon</t>
  </si>
  <si>
    <t>4.Estimate forecasted idiosyncratic return r(idio) = r(total) - r(industry)</t>
  </si>
  <si>
    <t>Procedure 6.2 Sizing alphas into positios</t>
  </si>
  <si>
    <t xml:space="preserve">For each stock in your universe with expected returns ALPHA, percentage </t>
  </si>
  <si>
    <t>idiosyncratic volatility VOL, average sector volatlity VOL(sector), and shrinkage factor P between 0 and 1,</t>
  </si>
  <si>
    <t>use the following methods to set the target Net Market Value of the stock (NMV):</t>
  </si>
  <si>
    <t>1. Proportional: K*ALPHA</t>
  </si>
  <si>
    <t>2. Risk parity: NMV = K*ALPHA / VOL</t>
  </si>
  <si>
    <t>3. Mean Variance: NMV = K*ALPHA / VOL**2</t>
  </si>
  <si>
    <t>4. Shrinked Mean Variance: NMV = K*ALPHA / [P*VOL**2 + (1 - P)*VOL(sector)**]</t>
  </si>
  <si>
    <t>Choose the constant K so that the p[ortfiolio's GMV or the portfiolio's volatility meets your predefined target.</t>
  </si>
  <si>
    <t>Note: using target positions that are proportional to the forecasted expected returns of a stock beats other common methods.</t>
  </si>
  <si>
    <t>Procedure 6.3 Sizing alphas into positions, with zero factor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</si>
</sst>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2"/>
    <xf numFmtId="0" fontId="4" fillId="0" borderId="0" xfId="0" applyFont="1"/>
    <xf numFmtId="10" fontId="0" fillId="0" borderId="0" xfId="0" applyNumberFormat="1"/>
    <xf numFmtId="0" fontId="2" fillId="0" borderId="0" xfId="0" applyFont="1"/>
    <xf numFmtId="10" fontId="0" fillId="0" borderId="0" xfId="1" applyNumberFormat="1" applyFont="1"/>
    <xf numFmtId="0" fontId="0" fillId="0" borderId="0" xfId="0" quotePrefix="1"/>
    <xf numFmtId="0" fontId="5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5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'beta estimator'!$D$4:$D$251</c:f>
              <c:numCache>
                <c:formatCode>General</c:formatCode>
                <c:ptCount val="248"/>
                <c:pt idx="0">
                  <c:v>1.0268948655256738E-2</c:v>
                </c:pt>
                <c:pt idx="1">
                  <c:v>-4.8327823737687181E-3</c:v>
                </c:pt>
                <c:pt idx="2">
                  <c:v>-2.6841584324532874E-4</c:v>
                </c:pt>
                <c:pt idx="3">
                  <c:v>5.7026201683791911E-3</c:v>
                </c:pt>
                <c:pt idx="4">
                  <c:v>5.6329425338061956E-3</c:v>
                </c:pt>
                <c:pt idx="5">
                  <c:v>-1.1185492754850479E-3</c:v>
                </c:pt>
                <c:pt idx="6">
                  <c:v>3.9473908087046539E-3</c:v>
                </c:pt>
                <c:pt idx="7">
                  <c:v>-5.7853336716569004E-3</c:v>
                </c:pt>
                <c:pt idx="8">
                  <c:v>2.0790523389338844E-2</c:v>
                </c:pt>
                <c:pt idx="9">
                  <c:v>-6.8257044367079356E-3</c:v>
                </c:pt>
                <c:pt idx="10">
                  <c:v>3.9460590879469848E-4</c:v>
                </c:pt>
                <c:pt idx="11">
                  <c:v>-1.6850805431390725E-2</c:v>
                </c:pt>
                <c:pt idx="12">
                  <c:v>-3.3621921492813511E-3</c:v>
                </c:pt>
                <c:pt idx="13">
                  <c:v>1.0939077751599413E-3</c:v>
                </c:pt>
                <c:pt idx="14">
                  <c:v>6.3340446431596753E-3</c:v>
                </c:pt>
                <c:pt idx="15">
                  <c:v>4.884358140880618E-3</c:v>
                </c:pt>
                <c:pt idx="16">
                  <c:v>1.2780314906959411E-3</c:v>
                </c:pt>
                <c:pt idx="17">
                  <c:v>6.6038868591229427E-3</c:v>
                </c:pt>
                <c:pt idx="18">
                  <c:v>3.3047453662685466E-2</c:v>
                </c:pt>
                <c:pt idx="19">
                  <c:v>-1.2742009698083478E-3</c:v>
                </c:pt>
                <c:pt idx="20">
                  <c:v>6.967833912500998E-3</c:v>
                </c:pt>
                <c:pt idx="21">
                  <c:v>4.2054402290623294E-3</c:v>
                </c:pt>
                <c:pt idx="22">
                  <c:v>-8.3583254955547082E-3</c:v>
                </c:pt>
                <c:pt idx="23">
                  <c:v>-5.7343496365304114E-3</c:v>
                </c:pt>
                <c:pt idx="24">
                  <c:v>1.4844127706054033E-2</c:v>
                </c:pt>
                <c:pt idx="25">
                  <c:v>7.0869549536554111E-3</c:v>
                </c:pt>
                <c:pt idx="26">
                  <c:v>3.9688266705129038E-4</c:v>
                </c:pt>
                <c:pt idx="27">
                  <c:v>6.2993555414359026E-3</c:v>
                </c:pt>
                <c:pt idx="28">
                  <c:v>3.813744006975206E-4</c:v>
                </c:pt>
                <c:pt idx="29">
                  <c:v>7.2253013590881654E-3</c:v>
                </c:pt>
                <c:pt idx="30">
                  <c:v>2.1048896193642586E-2</c:v>
                </c:pt>
                <c:pt idx="31">
                  <c:v>1.5495495495495337E-2</c:v>
                </c:pt>
                <c:pt idx="32">
                  <c:v>2.6017747334007968E-2</c:v>
                </c:pt>
                <c:pt idx="33">
                  <c:v>-2.3802739309663479E-2</c:v>
                </c:pt>
                <c:pt idx="34">
                  <c:v>1.4267777650953661E-3</c:v>
                </c:pt>
                <c:pt idx="35">
                  <c:v>-2.2228009151615602E-2</c:v>
                </c:pt>
                <c:pt idx="36">
                  <c:v>-2.8008606618192822E-3</c:v>
                </c:pt>
                <c:pt idx="37">
                  <c:v>9.7014645840356462E-3</c:v>
                </c:pt>
                <c:pt idx="38">
                  <c:v>1.7842845705135613E-2</c:v>
                </c:pt>
                <c:pt idx="39">
                  <c:v>-4.3819036856111659E-2</c:v>
                </c:pt>
                <c:pt idx="40">
                  <c:v>0.10501933612632941</c:v>
                </c:pt>
                <c:pt idx="41">
                  <c:v>-1.5662793925215079E-2</c:v>
                </c:pt>
                <c:pt idx="42">
                  <c:v>-1.7811906269790123E-3</c:v>
                </c:pt>
                <c:pt idx="43">
                  <c:v>-5.8542947643003718E-2</c:v>
                </c:pt>
                <c:pt idx="44">
                  <c:v>-4.9280804931623234E-2</c:v>
                </c:pt>
                <c:pt idx="45">
                  <c:v>6.328324152806708E-3</c:v>
                </c:pt>
                <c:pt idx="46">
                  <c:v>2.8245052646633795E-3</c:v>
                </c:pt>
                <c:pt idx="47">
                  <c:v>6.712738005254959E-3</c:v>
                </c:pt>
                <c:pt idx="48">
                  <c:v>-2.0138252098469533E-2</c:v>
                </c:pt>
                <c:pt idx="49">
                  <c:v>-2.6556921507588926E-3</c:v>
                </c:pt>
                <c:pt idx="50">
                  <c:v>-1.1938275466583215E-2</c:v>
                </c:pt>
                <c:pt idx="51">
                  <c:v>2.4038461538462563E-3</c:v>
                </c:pt>
                <c:pt idx="52">
                  <c:v>1.7908436469378453E-2</c:v>
                </c:pt>
                <c:pt idx="53">
                  <c:v>3.2902059172279507E-4</c:v>
                </c:pt>
                <c:pt idx="54">
                  <c:v>-2.8917835217683319E-3</c:v>
                </c:pt>
                <c:pt idx="55">
                  <c:v>1.0890912273243236E-2</c:v>
                </c:pt>
                <c:pt idx="56">
                  <c:v>-1.0808392261377864E-2</c:v>
                </c:pt>
                <c:pt idx="57">
                  <c:v>7.7113286314485219E-3</c:v>
                </c:pt>
                <c:pt idx="58">
                  <c:v>2.0655670850926233E-2</c:v>
                </c:pt>
                <c:pt idx="59">
                  <c:v>-1.3330358907117312E-2</c:v>
                </c:pt>
                <c:pt idx="60">
                  <c:v>5.3064195208976095E-3</c:v>
                </c:pt>
                <c:pt idx="61">
                  <c:v>-8.3127691004030169E-3</c:v>
                </c:pt>
                <c:pt idx="62">
                  <c:v>-2.6635634138474806E-2</c:v>
                </c:pt>
                <c:pt idx="63">
                  <c:v>5.6049743534420937E-3</c:v>
                </c:pt>
                <c:pt idx="64">
                  <c:v>-1.7751230922888439E-2</c:v>
                </c:pt>
                <c:pt idx="65">
                  <c:v>1.074782345012526E-2</c:v>
                </c:pt>
                <c:pt idx="66">
                  <c:v>-1.1836884559062066E-2</c:v>
                </c:pt>
                <c:pt idx="67">
                  <c:v>-1.7519797487636879E-2</c:v>
                </c:pt>
                <c:pt idx="68">
                  <c:v>1.5605461242820695E-2</c:v>
                </c:pt>
                <c:pt idx="69">
                  <c:v>-1.5962010765281032E-2</c:v>
                </c:pt>
                <c:pt idx="70">
                  <c:v>5.0484565749187027E-4</c:v>
                </c:pt>
                <c:pt idx="71">
                  <c:v>-4.9731332234052017E-3</c:v>
                </c:pt>
                <c:pt idx="72">
                  <c:v>-4.5504305672307011E-3</c:v>
                </c:pt>
                <c:pt idx="73">
                  <c:v>-1.7104102720253422E-2</c:v>
                </c:pt>
                <c:pt idx="74">
                  <c:v>-4.1602560137407041E-3</c:v>
                </c:pt>
                <c:pt idx="75">
                  <c:v>2.3549326546998817E-3</c:v>
                </c:pt>
                <c:pt idx="76">
                  <c:v>2.9358159177945709E-3</c:v>
                </c:pt>
                <c:pt idx="77">
                  <c:v>-4.918557569655313E-5</c:v>
                </c:pt>
                <c:pt idx="78">
                  <c:v>1.0557543842092176E-2</c:v>
                </c:pt>
                <c:pt idx="79">
                  <c:v>-3.2215671676539825E-3</c:v>
                </c:pt>
                <c:pt idx="80">
                  <c:v>7.6048464728084575E-4</c:v>
                </c:pt>
                <c:pt idx="81">
                  <c:v>6.7913398479753084E-3</c:v>
                </c:pt>
                <c:pt idx="82">
                  <c:v>-9.1536489285976019E-3</c:v>
                </c:pt>
                <c:pt idx="83">
                  <c:v>3.4757157230402846E-3</c:v>
                </c:pt>
                <c:pt idx="84">
                  <c:v>4.0544975404839256E-3</c:v>
                </c:pt>
                <c:pt idx="85">
                  <c:v>6.708304689923672E-3</c:v>
                </c:pt>
                <c:pt idx="86">
                  <c:v>-6.7294928214353122E-3</c:v>
                </c:pt>
                <c:pt idx="87">
                  <c:v>-5.322052650590825E-3</c:v>
                </c:pt>
                <c:pt idx="88">
                  <c:v>5.3671165735786897E-3</c:v>
                </c:pt>
                <c:pt idx="89">
                  <c:v>-4.4827722374074508E-3</c:v>
                </c:pt>
                <c:pt idx="90">
                  <c:v>8.5922571120611302E-3</c:v>
                </c:pt>
                <c:pt idx="91">
                  <c:v>-1.4145411237635241E-2</c:v>
                </c:pt>
                <c:pt idx="92">
                  <c:v>-2.9192899481478296E-3</c:v>
                </c:pt>
                <c:pt idx="93">
                  <c:v>5.4581236498787433E-3</c:v>
                </c:pt>
                <c:pt idx="94">
                  <c:v>5.6213647119405241E-3</c:v>
                </c:pt>
                <c:pt idx="95">
                  <c:v>9.1535869368364331E-3</c:v>
                </c:pt>
                <c:pt idx="96">
                  <c:v>1.0039905666726856E-2</c:v>
                </c:pt>
                <c:pt idx="97">
                  <c:v>-1.9230033844184202E-3</c:v>
                </c:pt>
                <c:pt idx="98">
                  <c:v>1.8189855910402564E-2</c:v>
                </c:pt>
                <c:pt idx="99">
                  <c:v>1.3760103566515802E-3</c:v>
                </c:pt>
                <c:pt idx="100">
                  <c:v>1.5504117066191814E-3</c:v>
                </c:pt>
                <c:pt idx="101">
                  <c:v>-1.5267409364113083E-2</c:v>
                </c:pt>
                <c:pt idx="102">
                  <c:v>1.4609831117917693E-3</c:v>
                </c:pt>
                <c:pt idx="103">
                  <c:v>-1.130404941314056E-2</c:v>
                </c:pt>
                <c:pt idx="104">
                  <c:v>5.7606632336739683E-3</c:v>
                </c:pt>
                <c:pt idx="105">
                  <c:v>1.2503278936864426E-2</c:v>
                </c:pt>
                <c:pt idx="106">
                  <c:v>-2.4568615937734517E-3</c:v>
                </c:pt>
                <c:pt idx="107">
                  <c:v>-3.6381227382159542E-3</c:v>
                </c:pt>
                <c:pt idx="108">
                  <c:v>-1.1411671100052811E-2</c:v>
                </c:pt>
                <c:pt idx="109">
                  <c:v>-1.0526456248738714E-2</c:v>
                </c:pt>
                <c:pt idx="110">
                  <c:v>6.6555784840272025E-5</c:v>
                </c:pt>
                <c:pt idx="111">
                  <c:v>1.111506713785948E-2</c:v>
                </c:pt>
                <c:pt idx="112">
                  <c:v>5.9883521172761078E-3</c:v>
                </c:pt>
                <c:pt idx="113">
                  <c:v>1.2010137658551079E-2</c:v>
                </c:pt>
                <c:pt idx="114">
                  <c:v>-3.0709183006993879E-4</c:v>
                </c:pt>
                <c:pt idx="115">
                  <c:v>-2.9803598155207278E-2</c:v>
                </c:pt>
                <c:pt idx="116">
                  <c:v>-4.1199664710589445E-3</c:v>
                </c:pt>
                <c:pt idx="117">
                  <c:v>4.2699751589914126E-3</c:v>
                </c:pt>
                <c:pt idx="118">
                  <c:v>-1.9850210841876326E-4</c:v>
                </c:pt>
                <c:pt idx="119">
                  <c:v>-5.1526852875942719E-3</c:v>
                </c:pt>
                <c:pt idx="120">
                  <c:v>7.7306795201355083E-3</c:v>
                </c:pt>
                <c:pt idx="121">
                  <c:v>-3.1091202858906097E-3</c:v>
                </c:pt>
                <c:pt idx="122">
                  <c:v>-5.1495532864765936E-3</c:v>
                </c:pt>
                <c:pt idx="123">
                  <c:v>1.8956139934698246E-3</c:v>
                </c:pt>
                <c:pt idx="124">
                  <c:v>-1.6457264523407344E-3</c:v>
                </c:pt>
                <c:pt idx="125">
                  <c:v>6.2095043645005177E-3</c:v>
                </c:pt>
                <c:pt idx="126">
                  <c:v>4.6398660357471755E-4</c:v>
                </c:pt>
                <c:pt idx="127">
                  <c:v>1.7922975798554397E-3</c:v>
                </c:pt>
                <c:pt idx="128">
                  <c:v>6.2120997465180405E-3</c:v>
                </c:pt>
                <c:pt idx="129">
                  <c:v>-3.0299542239663468E-3</c:v>
                </c:pt>
                <c:pt idx="130">
                  <c:v>5.2214730172523982E-3</c:v>
                </c:pt>
                <c:pt idx="131">
                  <c:v>3.3920686904049813E-3</c:v>
                </c:pt>
                <c:pt idx="132">
                  <c:v>3.0993126011815697E-3</c:v>
                </c:pt>
                <c:pt idx="133">
                  <c:v>5.3683385112459625E-3</c:v>
                </c:pt>
                <c:pt idx="134">
                  <c:v>3.3875685270823297E-4</c:v>
                </c:pt>
                <c:pt idx="135">
                  <c:v>3.6555901577635108E-3</c:v>
                </c:pt>
                <c:pt idx="136">
                  <c:v>4.0973466896845334E-3</c:v>
                </c:pt>
                <c:pt idx="137">
                  <c:v>-1.2808627055888255E-2</c:v>
                </c:pt>
                <c:pt idx="138">
                  <c:v>-6.4302033003894588E-3</c:v>
                </c:pt>
                <c:pt idx="139">
                  <c:v>4.8590955034821803E-4</c:v>
                </c:pt>
                <c:pt idx="140">
                  <c:v>-3.1064132255685939E-3</c:v>
                </c:pt>
                <c:pt idx="141">
                  <c:v>9.528996058691952E-4</c:v>
                </c:pt>
                <c:pt idx="142">
                  <c:v>4.3316295297639584E-3</c:v>
                </c:pt>
                <c:pt idx="143">
                  <c:v>7.7321031439743226E-3</c:v>
                </c:pt>
                <c:pt idx="144">
                  <c:v>2.4865690613577351E-2</c:v>
                </c:pt>
                <c:pt idx="145">
                  <c:v>1.2091742740106382E-2</c:v>
                </c:pt>
                <c:pt idx="146">
                  <c:v>-2.1539657237119592E-3</c:v>
                </c:pt>
                <c:pt idx="147">
                  <c:v>4.2204554842559805E-3</c:v>
                </c:pt>
                <c:pt idx="148">
                  <c:v>-1.9602950801239971E-2</c:v>
                </c:pt>
                <c:pt idx="149">
                  <c:v>-3.0253571950620284E-3</c:v>
                </c:pt>
                <c:pt idx="150">
                  <c:v>1.6184801637852964E-3</c:v>
                </c:pt>
                <c:pt idx="151">
                  <c:v>3.0912400728715372E-3</c:v>
                </c:pt>
                <c:pt idx="152">
                  <c:v>-3.452250956231806E-4</c:v>
                </c:pt>
                <c:pt idx="153">
                  <c:v>2.1625405149876542E-3</c:v>
                </c:pt>
                <c:pt idx="154">
                  <c:v>-9.1373548253196324E-3</c:v>
                </c:pt>
                <c:pt idx="155">
                  <c:v>-5.3109977140286535E-4</c:v>
                </c:pt>
                <c:pt idx="156">
                  <c:v>-1.6421562635892117E-3</c:v>
                </c:pt>
                <c:pt idx="157">
                  <c:v>3.8464941568128186E-3</c:v>
                </c:pt>
                <c:pt idx="158">
                  <c:v>8.5895938712221565E-5</c:v>
                </c:pt>
                <c:pt idx="159">
                  <c:v>4.3464442388869706E-3</c:v>
                </c:pt>
                <c:pt idx="160">
                  <c:v>-7.7697018485419767E-3</c:v>
                </c:pt>
                <c:pt idx="161">
                  <c:v>8.1782670873844499E-3</c:v>
                </c:pt>
                <c:pt idx="162">
                  <c:v>5.9881954938569848E-3</c:v>
                </c:pt>
                <c:pt idx="163">
                  <c:v>-1.7498436736567147E-3</c:v>
                </c:pt>
                <c:pt idx="164">
                  <c:v>6.926352199601471E-3</c:v>
                </c:pt>
                <c:pt idx="165">
                  <c:v>9.4574769793145386E-3</c:v>
                </c:pt>
                <c:pt idx="166">
                  <c:v>-9.0403694623761854E-3</c:v>
                </c:pt>
                <c:pt idx="167">
                  <c:v>9.087251581389344E-3</c:v>
                </c:pt>
                <c:pt idx="168">
                  <c:v>-1.8282098404180935E-3</c:v>
                </c:pt>
                <c:pt idx="169">
                  <c:v>4.2211350906584677E-4</c:v>
                </c:pt>
                <c:pt idx="170">
                  <c:v>-8.9584444573461708E-3</c:v>
                </c:pt>
                <c:pt idx="171">
                  <c:v>4.0072498555063785E-3</c:v>
                </c:pt>
                <c:pt idx="172">
                  <c:v>-1.4502246907478478E-3</c:v>
                </c:pt>
                <c:pt idx="173">
                  <c:v>3.9645149780667133E-3</c:v>
                </c:pt>
                <c:pt idx="174">
                  <c:v>-2.2054799129576086E-3</c:v>
                </c:pt>
                <c:pt idx="175">
                  <c:v>2.8613716069685324E-3</c:v>
                </c:pt>
                <c:pt idx="176">
                  <c:v>2.4989099368772916E-3</c:v>
                </c:pt>
                <c:pt idx="177">
                  <c:v>-1.7294161991597834E-3</c:v>
                </c:pt>
                <c:pt idx="178">
                  <c:v>1.7064403328476585E-2</c:v>
                </c:pt>
                <c:pt idx="179">
                  <c:v>-2.9658189500465504E-3</c:v>
                </c:pt>
                <c:pt idx="180">
                  <c:v>4.085653080345697E-4</c:v>
                </c:pt>
                <c:pt idx="181">
                  <c:v>1.4768151516706407E-3</c:v>
                </c:pt>
                <c:pt idx="182">
                  <c:v>5.2227514507643402E-3</c:v>
                </c:pt>
                <c:pt idx="183">
                  <c:v>8.4232214497730329E-3</c:v>
                </c:pt>
                <c:pt idx="184">
                  <c:v>1.0258945858915292E-2</c:v>
                </c:pt>
                <c:pt idx="185">
                  <c:v>4.3557468534591859E-3</c:v>
                </c:pt>
                <c:pt idx="186">
                  <c:v>1.1196138479262707E-2</c:v>
                </c:pt>
                <c:pt idx="187">
                  <c:v>-1.6830044141397105E-2</c:v>
                </c:pt>
                <c:pt idx="188">
                  <c:v>-2.4321052551539157E-3</c:v>
                </c:pt>
                <c:pt idx="189">
                  <c:v>-2.0468029263760457E-3</c:v>
                </c:pt>
                <c:pt idx="190">
                  <c:v>-2.0579058222266133E-2</c:v>
                </c:pt>
                <c:pt idx="191">
                  <c:v>9.5459715367334219E-3</c:v>
                </c:pt>
                <c:pt idx="192">
                  <c:v>8.9501492957166917E-5</c:v>
                </c:pt>
                <c:pt idx="193">
                  <c:v>-5.8052162458331891E-3</c:v>
                </c:pt>
                <c:pt idx="194">
                  <c:v>1.373103162745748E-3</c:v>
                </c:pt>
                <c:pt idx="195">
                  <c:v>-2.3839132991833045E-3</c:v>
                </c:pt>
                <c:pt idx="196">
                  <c:v>1.0625352425549961E-2</c:v>
                </c:pt>
                <c:pt idx="197">
                  <c:v>-7.8484000334196891E-3</c:v>
                </c:pt>
                <c:pt idx="198">
                  <c:v>3.4365651982546375E-3</c:v>
                </c:pt>
                <c:pt idx="199">
                  <c:v>-1.6261963546864155E-3</c:v>
                </c:pt>
                <c:pt idx="200">
                  <c:v>9.5614582703524853E-3</c:v>
                </c:pt>
                <c:pt idx="201">
                  <c:v>2.2420869880106498E-3</c:v>
                </c:pt>
                <c:pt idx="202">
                  <c:v>1.7140075585273307E-2</c:v>
                </c:pt>
                <c:pt idx="203">
                  <c:v>3.1548214667163066E-3</c:v>
                </c:pt>
                <c:pt idx="204">
                  <c:v>1.6445623643444929E-2</c:v>
                </c:pt>
                <c:pt idx="205">
                  <c:v>5.2538794236545172E-4</c:v>
                </c:pt>
                <c:pt idx="206">
                  <c:v>4.4097781756595733E-3</c:v>
                </c:pt>
                <c:pt idx="207">
                  <c:v>2.3117187548657325E-2</c:v>
                </c:pt>
                <c:pt idx="208">
                  <c:v>-6.6839696279863414E-3</c:v>
                </c:pt>
                <c:pt idx="209">
                  <c:v>9.219608247133193E-3</c:v>
                </c:pt>
                <c:pt idx="210">
                  <c:v>-2.9123609399933748E-2</c:v>
                </c:pt>
                <c:pt idx="211">
                  <c:v>-1.8618492673959874E-2</c:v>
                </c:pt>
                <c:pt idx="212">
                  <c:v>-1.416089183489011E-2</c:v>
                </c:pt>
                <c:pt idx="213">
                  <c:v>1.6254488828147062E-2</c:v>
                </c:pt>
                <c:pt idx="214">
                  <c:v>-5.0664281912883302E-3</c:v>
                </c:pt>
                <c:pt idx="215">
                  <c:v>5.8776259730985991E-4</c:v>
                </c:pt>
                <c:pt idx="216">
                  <c:v>1.1199754612223334E-2</c:v>
                </c:pt>
                <c:pt idx="217">
                  <c:v>-5.2104481272620129E-3</c:v>
                </c:pt>
                <c:pt idx="218">
                  <c:v>-2.2662453165940399E-2</c:v>
                </c:pt>
                <c:pt idx="219">
                  <c:v>-1.5684844196244274E-3</c:v>
                </c:pt>
                <c:pt idx="220">
                  <c:v>1.0309820504423417E-2</c:v>
                </c:pt>
                <c:pt idx="221">
                  <c:v>-6.6406527551969852E-3</c:v>
                </c:pt>
                <c:pt idx="222">
                  <c:v>-7.6847494571935515E-3</c:v>
                </c:pt>
                <c:pt idx="223">
                  <c:v>-1.4021326326899786E-2</c:v>
                </c:pt>
                <c:pt idx="224">
                  <c:v>5.9302873046944704E-3</c:v>
                </c:pt>
                <c:pt idx="225">
                  <c:v>2.7501295657856861E-3</c:v>
                </c:pt>
                <c:pt idx="226">
                  <c:v>6.3073628529524139E-3</c:v>
                </c:pt>
                <c:pt idx="227">
                  <c:v>-8.6225267963553343E-3</c:v>
                </c:pt>
                <c:pt idx="228">
                  <c:v>9.8954498547603187E-3</c:v>
                </c:pt>
                <c:pt idx="229">
                  <c:v>9.724186865094353E-4</c:v>
                </c:pt>
                <c:pt idx="230">
                  <c:v>1.1539069852688488E-3</c:v>
                </c:pt>
                <c:pt idx="231">
                  <c:v>5.7665606480103992E-3</c:v>
                </c:pt>
                <c:pt idx="232">
                  <c:v>4.4625414053787171E-3</c:v>
                </c:pt>
                <c:pt idx="233">
                  <c:v>6.7297897597833334E-3</c:v>
                </c:pt>
                <c:pt idx="234">
                  <c:v>2.0580009400585908E-3</c:v>
                </c:pt>
                <c:pt idx="235">
                  <c:v>-3.9351842870506415E-3</c:v>
                </c:pt>
                <c:pt idx="236">
                  <c:v>1.5766294659835811E-3</c:v>
                </c:pt>
                <c:pt idx="237">
                  <c:v>1.2480552405256251E-3</c:v>
                </c:pt>
                <c:pt idx="238">
                  <c:v>3.850837339507196E-3</c:v>
                </c:pt>
                <c:pt idx="239">
                  <c:v>-3.2506325978716166E-3</c:v>
                </c:pt>
                <c:pt idx="240">
                  <c:v>-1.3406111305716006E-3</c:v>
                </c:pt>
                <c:pt idx="241">
                  <c:v>-2.7165900323505854E-3</c:v>
                </c:pt>
                <c:pt idx="242">
                  <c:v>2.5406052582477301E-3</c:v>
                </c:pt>
                <c:pt idx="243">
                  <c:v>7.9589909618238419E-3</c:v>
                </c:pt>
                <c:pt idx="244">
                  <c:v>6.0843785121922345E-4</c:v>
                </c:pt>
                <c:pt idx="245">
                  <c:v>2.0134402703395615E-3</c:v>
                </c:pt>
                <c:pt idx="246">
                  <c:v>8.2130791011971738E-3</c:v>
                </c:pt>
                <c:pt idx="247">
                  <c:v>2.4082613687688159E-3</c:v>
                </c:pt>
              </c:numCache>
            </c:numRef>
          </c:xVal>
          <c:yVal>
            <c:numRef>
              <c:f>'beta estimator'!$L$4:$L$251</c:f>
              <c:numCache>
                <c:formatCode>General</c:formatCode>
                <c:ptCount val="248"/>
                <c:pt idx="0">
                  <c:v>3.0809399477806698E-2</c:v>
                </c:pt>
                <c:pt idx="1">
                  <c:v>-7.2576464489372272E-3</c:v>
                </c:pt>
                <c:pt idx="2">
                  <c:v>-1.9484920365977709E-2</c:v>
                </c:pt>
                <c:pt idx="3">
                  <c:v>1.5310510923791432E-2</c:v>
                </c:pt>
                <c:pt idx="4">
                  <c:v>8.326105810928075E-3</c:v>
                </c:pt>
                <c:pt idx="5">
                  <c:v>-1.0300429184549431E-2</c:v>
                </c:pt>
                <c:pt idx="6">
                  <c:v>-1.0289830217802276E-3</c:v>
                </c:pt>
                <c:pt idx="7">
                  <c:v>-1.2029820399864444E-2</c:v>
                </c:pt>
                <c:pt idx="8">
                  <c:v>4.0183292210081101E-2</c:v>
                </c:pt>
                <c:pt idx="9">
                  <c:v>-1.2530455969369969E-2</c:v>
                </c:pt>
                <c:pt idx="10">
                  <c:v>3.8434661076169885E-3</c:v>
                </c:pt>
                <c:pt idx="11">
                  <c:v>-4.3449197860962574E-2</c:v>
                </c:pt>
                <c:pt idx="12">
                  <c:v>-3.4970857618650264E-3</c:v>
                </c:pt>
                <c:pt idx="13">
                  <c:v>-1.2335526315789491E-2</c:v>
                </c:pt>
                <c:pt idx="14">
                  <c:v>5.1248140188460134E-3</c:v>
                </c:pt>
                <c:pt idx="15">
                  <c:v>-9.9836333878886574E-3</c:v>
                </c:pt>
                <c:pt idx="16">
                  <c:v>-4.237288135593209E-3</c:v>
                </c:pt>
                <c:pt idx="17">
                  <c:v>1.656726308813794E-2</c:v>
                </c:pt>
                <c:pt idx="18">
                  <c:v>8.5026065072802304E-2</c:v>
                </c:pt>
                <c:pt idx="19">
                  <c:v>3.0652722683015554E-3</c:v>
                </c:pt>
                <c:pt idx="20">
                  <c:v>3.1430165519806597E-2</c:v>
                </c:pt>
                <c:pt idx="21">
                  <c:v>6.9288389513109117E-3</c:v>
                </c:pt>
                <c:pt idx="22">
                  <c:v>-1.4760147601476148E-2</c:v>
                </c:pt>
                <c:pt idx="23">
                  <c:v>5.9391239792130346E-3</c:v>
                </c:pt>
                <c:pt idx="24">
                  <c:v>3.5747514436644146E-2</c:v>
                </c:pt>
                <c:pt idx="25">
                  <c:v>6.9315535700114062E-3</c:v>
                </c:pt>
                <c:pt idx="26">
                  <c:v>-9.156170825685539E-3</c:v>
                </c:pt>
                <c:pt idx="27">
                  <c:v>4.9844741148510341E-3</c:v>
                </c:pt>
                <c:pt idx="28">
                  <c:v>1.4584836697936643E-2</c:v>
                </c:pt>
                <c:pt idx="29">
                  <c:v>-9.6295937636178275E-3</c:v>
                </c:pt>
                <c:pt idx="30">
                  <c:v>4.0273121433867409E-2</c:v>
                </c:pt>
                <c:pt idx="31">
                  <c:v>2.7800153651501125E-2</c:v>
                </c:pt>
                <c:pt idx="32">
                  <c:v>2.8159298253084497E-2</c:v>
                </c:pt>
                <c:pt idx="33">
                  <c:v>-1.3368371743245011E-2</c:v>
                </c:pt>
                <c:pt idx="34">
                  <c:v>2.3737072886447885E-2</c:v>
                </c:pt>
                <c:pt idx="35">
                  <c:v>-1.5785162624426086E-2</c:v>
                </c:pt>
                <c:pt idx="36">
                  <c:v>1.1710920770877875E-2</c:v>
                </c:pt>
                <c:pt idx="37">
                  <c:v>1.7992527455280349E-2</c:v>
                </c:pt>
                <c:pt idx="38">
                  <c:v>-1.072203364976132E-2</c:v>
                </c:pt>
                <c:pt idx="39">
                  <c:v>-7.6268164659714532E-2</c:v>
                </c:pt>
                <c:pt idx="40">
                  <c:v>0.15172309365342662</c:v>
                </c:pt>
                <c:pt idx="41">
                  <c:v>-2.1870701204392162E-2</c:v>
                </c:pt>
                <c:pt idx="42">
                  <c:v>2.2826700698228564E-2</c:v>
                </c:pt>
                <c:pt idx="43">
                  <c:v>-5.9064148139829187E-2</c:v>
                </c:pt>
                <c:pt idx="44">
                  <c:v>-0.15422356663232573</c:v>
                </c:pt>
                <c:pt idx="45">
                  <c:v>3.3608923611963215E-2</c:v>
                </c:pt>
                <c:pt idx="46">
                  <c:v>6.0440405797872465E-3</c:v>
                </c:pt>
                <c:pt idx="47">
                  <c:v>9.7277122806613825E-3</c:v>
                </c:pt>
                <c:pt idx="48">
                  <c:v>-3.1942012732987912E-2</c:v>
                </c:pt>
                <c:pt idx="49">
                  <c:v>-1.8841630475968318E-2</c:v>
                </c:pt>
                <c:pt idx="50">
                  <c:v>-1.1638291130124157E-2</c:v>
                </c:pt>
                <c:pt idx="51">
                  <c:v>5.3863295316780579E-4</c:v>
                </c:pt>
                <c:pt idx="52">
                  <c:v>3.3320365072066815E-2</c:v>
                </c:pt>
                <c:pt idx="53">
                  <c:v>2.7850525557338024E-3</c:v>
                </c:pt>
                <c:pt idx="54">
                  <c:v>-1.1922217857136319E-2</c:v>
                </c:pt>
                <c:pt idx="55">
                  <c:v>2.7708539074954075E-2</c:v>
                </c:pt>
                <c:pt idx="56">
                  <c:v>-7.2971411690102572E-3</c:v>
                </c:pt>
                <c:pt idx="57">
                  <c:v>1.8738912652913609E-3</c:v>
                </c:pt>
                <c:pt idx="58">
                  <c:v>2.7747100514215584E-2</c:v>
                </c:pt>
                <c:pt idx="59">
                  <c:v>-3.1898291605080953E-2</c:v>
                </c:pt>
                <c:pt idx="60">
                  <c:v>3.1161210086244173E-2</c:v>
                </c:pt>
                <c:pt idx="61">
                  <c:v>-5.9276606217216754E-3</c:v>
                </c:pt>
                <c:pt idx="62">
                  <c:v>-4.4574544105193459E-2</c:v>
                </c:pt>
                <c:pt idx="63">
                  <c:v>1.0895038458538675E-2</c:v>
                </c:pt>
                <c:pt idx="64">
                  <c:v>-3.0264285765737142E-2</c:v>
                </c:pt>
                <c:pt idx="65">
                  <c:v>-4.8118883211797359E-3</c:v>
                </c:pt>
                <c:pt idx="66">
                  <c:v>-3.2919285876458204E-2</c:v>
                </c:pt>
                <c:pt idx="67">
                  <c:v>-4.3837001193159253E-2</c:v>
                </c:pt>
                <c:pt idx="68">
                  <c:v>2.3961555626070163E-2</c:v>
                </c:pt>
                <c:pt idx="69">
                  <c:v>-7.8687795984127007E-3</c:v>
                </c:pt>
                <c:pt idx="70">
                  <c:v>3.6971637617120301E-3</c:v>
                </c:pt>
                <c:pt idx="71">
                  <c:v>-1.7499908690354005E-2</c:v>
                </c:pt>
                <c:pt idx="72">
                  <c:v>-1.3679384313083354E-2</c:v>
                </c:pt>
                <c:pt idx="73">
                  <c:v>-3.8214704747505768E-2</c:v>
                </c:pt>
                <c:pt idx="74">
                  <c:v>-2.6527439641374384E-2</c:v>
                </c:pt>
                <c:pt idx="75">
                  <c:v>4.5942844821611484E-3</c:v>
                </c:pt>
                <c:pt idx="76">
                  <c:v>1.227468777419416E-3</c:v>
                </c:pt>
                <c:pt idx="77">
                  <c:v>1.7633526454212678E-2</c:v>
                </c:pt>
                <c:pt idx="78">
                  <c:v>1.2506756162249388E-3</c:v>
                </c:pt>
                <c:pt idx="79">
                  <c:v>-1.8856522704289169E-2</c:v>
                </c:pt>
                <c:pt idx="80">
                  <c:v>-4.4262184378703884E-3</c:v>
                </c:pt>
                <c:pt idx="81">
                  <c:v>-2.9189630536844091E-2</c:v>
                </c:pt>
                <c:pt idx="82">
                  <c:v>-1.0555443350734217E-2</c:v>
                </c:pt>
                <c:pt idx="83">
                  <c:v>5.3057238089169179E-3</c:v>
                </c:pt>
                <c:pt idx="84">
                  <c:v>2.9277705743268934E-2</c:v>
                </c:pt>
                <c:pt idx="85">
                  <c:v>-2.3985349730518246E-2</c:v>
                </c:pt>
                <c:pt idx="86">
                  <c:v>-1.7313977884224396E-2</c:v>
                </c:pt>
                <c:pt idx="87">
                  <c:v>-7.0545507372701266E-3</c:v>
                </c:pt>
                <c:pt idx="88">
                  <c:v>1.0178834012802618E-2</c:v>
                </c:pt>
                <c:pt idx="89">
                  <c:v>3.1654519413903959E-2</c:v>
                </c:pt>
                <c:pt idx="90">
                  <c:v>-4.5806643610213027E-2</c:v>
                </c:pt>
                <c:pt idx="91">
                  <c:v>-1.0902429684329529E-2</c:v>
                </c:pt>
                <c:pt idx="92">
                  <c:v>2.6978584763330815E-3</c:v>
                </c:pt>
                <c:pt idx="93">
                  <c:v>-7.0870606022443994E-4</c:v>
                </c:pt>
                <c:pt idx="94">
                  <c:v>1.4681484709813564E-2</c:v>
                </c:pt>
                <c:pt idx="95">
                  <c:v>1.0473932605711722E-2</c:v>
                </c:pt>
                <c:pt idx="96">
                  <c:v>1.3862161241016135E-2</c:v>
                </c:pt>
                <c:pt idx="97">
                  <c:v>-4.4052667609063567E-3</c:v>
                </c:pt>
                <c:pt idx="98">
                  <c:v>3.1033012965941964E-2</c:v>
                </c:pt>
                <c:pt idx="99">
                  <c:v>1.9285990133546038E-2</c:v>
                </c:pt>
                <c:pt idx="100">
                  <c:v>1.6308708581340259E-2</c:v>
                </c:pt>
                <c:pt idx="101">
                  <c:v>-3.0703221115348289E-2</c:v>
                </c:pt>
                <c:pt idx="102">
                  <c:v>-1.1865747884689526E-2</c:v>
                </c:pt>
                <c:pt idx="103">
                  <c:v>-1.6107046236170985E-2</c:v>
                </c:pt>
                <c:pt idx="104">
                  <c:v>1.3327892760259585E-2</c:v>
                </c:pt>
                <c:pt idx="105">
                  <c:v>2.3448073190159846E-2</c:v>
                </c:pt>
                <c:pt idx="106">
                  <c:v>3.8459269196251533E-3</c:v>
                </c:pt>
                <c:pt idx="107">
                  <c:v>-7.6952435327370949E-4</c:v>
                </c:pt>
                <c:pt idx="108">
                  <c:v>-1.3197096026480115E-2</c:v>
                </c:pt>
                <c:pt idx="109">
                  <c:v>-1.3321893131800322E-2</c:v>
                </c:pt>
                <c:pt idx="110">
                  <c:v>2.8525548772173615E-3</c:v>
                </c:pt>
                <c:pt idx="111">
                  <c:v>1.7720808614033468E-2</c:v>
                </c:pt>
                <c:pt idx="112">
                  <c:v>1.5265598280378434E-4</c:v>
                </c:pt>
                <c:pt idx="113">
                  <c:v>1.8359831978957963E-2</c:v>
                </c:pt>
                <c:pt idx="114">
                  <c:v>1.0693761337720042E-2</c:v>
                </c:pt>
                <c:pt idx="115">
                  <c:v>-5.3579528897887863E-2</c:v>
                </c:pt>
                <c:pt idx="116">
                  <c:v>-1.9839996231048485E-2</c:v>
                </c:pt>
                <c:pt idx="117">
                  <c:v>7.2007093944346234E-3</c:v>
                </c:pt>
                <c:pt idx="118">
                  <c:v>-6.8582620925283777E-3</c:v>
                </c:pt>
                <c:pt idx="119">
                  <c:v>0</c:v>
                </c:pt>
                <c:pt idx="120">
                  <c:v>2.4823909916735332E-2</c:v>
                </c:pt>
                <c:pt idx="121">
                  <c:v>-1.5604153976436885E-2</c:v>
                </c:pt>
                <c:pt idx="122">
                  <c:v>1.471044932250809E-4</c:v>
                </c:pt>
                <c:pt idx="123">
                  <c:v>1.494232245435323E-2</c:v>
                </c:pt>
                <c:pt idx="124">
                  <c:v>1.4967708415145609E-3</c:v>
                </c:pt>
                <c:pt idx="125">
                  <c:v>-4.7665359414248432E-3</c:v>
                </c:pt>
                <c:pt idx="126">
                  <c:v>7.4612608628310539E-4</c:v>
                </c:pt>
                <c:pt idx="127">
                  <c:v>-6.3689412102334586E-3</c:v>
                </c:pt>
                <c:pt idx="128">
                  <c:v>4.4635953487324187E-3</c:v>
                </c:pt>
                <c:pt idx="129">
                  <c:v>-5.9569181276364347E-4</c:v>
                </c:pt>
                <c:pt idx="130">
                  <c:v>3.2817881831539442E-3</c:v>
                </c:pt>
                <c:pt idx="131">
                  <c:v>1.591146836976276E-2</c:v>
                </c:pt>
                <c:pt idx="132">
                  <c:v>1.3049911301505013E-2</c:v>
                </c:pt>
                <c:pt idx="133">
                  <c:v>1.1490127924050908E-2</c:v>
                </c:pt>
                <c:pt idx="134">
                  <c:v>1.1782483089734619E-2</c:v>
                </c:pt>
                <c:pt idx="135">
                  <c:v>-6.2444358657202104E-3</c:v>
                </c:pt>
                <c:pt idx="136">
                  <c:v>-1.4312117541080305E-2</c:v>
                </c:pt>
                <c:pt idx="137">
                  <c:v>1.3873163205633254E-3</c:v>
                </c:pt>
                <c:pt idx="138">
                  <c:v>-3.6848450288681223E-3</c:v>
                </c:pt>
                <c:pt idx="139">
                  <c:v>1.5342961687547785E-4</c:v>
                </c:pt>
                <c:pt idx="140">
                  <c:v>-7.3168893066647422E-3</c:v>
                </c:pt>
                <c:pt idx="141">
                  <c:v>2.837348454045352E-2</c:v>
                </c:pt>
                <c:pt idx="142">
                  <c:v>-1.314928703135565E-2</c:v>
                </c:pt>
                <c:pt idx="143">
                  <c:v>-4.2512733040427353E-2</c:v>
                </c:pt>
                <c:pt idx="144">
                  <c:v>0.18813831468936382</c:v>
                </c:pt>
                <c:pt idx="145">
                  <c:v>3.1964909901075478E-2</c:v>
                </c:pt>
                <c:pt idx="146">
                  <c:v>1.0917992117025488E-3</c:v>
                </c:pt>
                <c:pt idx="147">
                  <c:v>1.9948996758518689E-3</c:v>
                </c:pt>
                <c:pt idx="148">
                  <c:v>-2.077857075984646E-2</c:v>
                </c:pt>
                <c:pt idx="149">
                  <c:v>1.004538974075464E-2</c:v>
                </c:pt>
                <c:pt idx="150">
                  <c:v>-1.8312559580978327E-2</c:v>
                </c:pt>
                <c:pt idx="151">
                  <c:v>2.973605938388113E-2</c:v>
                </c:pt>
                <c:pt idx="152">
                  <c:v>-1.9905663665834572E-3</c:v>
                </c:pt>
                <c:pt idx="153">
                  <c:v>4.7280583071893645E-3</c:v>
                </c:pt>
                <c:pt idx="154">
                  <c:v>-1.2035730220445573E-2</c:v>
                </c:pt>
                <c:pt idx="155">
                  <c:v>-2.5086467476602703E-3</c:v>
                </c:pt>
                <c:pt idx="156">
                  <c:v>-1.0811966656663952E-2</c:v>
                </c:pt>
                <c:pt idx="157">
                  <c:v>-4.9385364981450186E-3</c:v>
                </c:pt>
                <c:pt idx="158">
                  <c:v>3.1856559383964811E-3</c:v>
                </c:pt>
                <c:pt idx="159">
                  <c:v>6.0611940894796712E-2</c:v>
                </c:pt>
                <c:pt idx="160">
                  <c:v>-7.4511173843671008E-3</c:v>
                </c:pt>
                <c:pt idx="161">
                  <c:v>1.0161027585654292E-2</c:v>
                </c:pt>
                <c:pt idx="162">
                  <c:v>3.0437995801655848E-2</c:v>
                </c:pt>
                <c:pt idx="163">
                  <c:v>-8.0773617460981884E-3</c:v>
                </c:pt>
                <c:pt idx="164">
                  <c:v>1.5824132296875737E-2</c:v>
                </c:pt>
                <c:pt idx="165">
                  <c:v>-7.3701427633415806E-3</c:v>
                </c:pt>
                <c:pt idx="166">
                  <c:v>-5.5910262074465589E-3</c:v>
                </c:pt>
                <c:pt idx="167">
                  <c:v>4.6407063136189475E-2</c:v>
                </c:pt>
                <c:pt idx="168">
                  <c:v>-4.0282591581553007E-4</c:v>
                </c:pt>
                <c:pt idx="169">
                  <c:v>1.1631659295605168E-2</c:v>
                </c:pt>
                <c:pt idx="170">
                  <c:v>-1.744294761831211E-2</c:v>
                </c:pt>
                <c:pt idx="171">
                  <c:v>4.6331179107068632E-3</c:v>
                </c:pt>
                <c:pt idx="172">
                  <c:v>1.2439065736648214E-2</c:v>
                </c:pt>
                <c:pt idx="173">
                  <c:v>1.7426219887975769E-2</c:v>
                </c:pt>
                <c:pt idx="174">
                  <c:v>-2.0608540768107808E-4</c:v>
                </c:pt>
                <c:pt idx="175">
                  <c:v>-2.9979927707107668E-2</c:v>
                </c:pt>
                <c:pt idx="176">
                  <c:v>-1.7399966727399296E-2</c:v>
                </c:pt>
                <c:pt idx="177">
                  <c:v>-8.8169791416258247E-3</c:v>
                </c:pt>
                <c:pt idx="178">
                  <c:v>4.3770827328357909E-2</c:v>
                </c:pt>
                <c:pt idx="179">
                  <c:v>-6.0985412141022488E-3</c:v>
                </c:pt>
                <c:pt idx="180">
                  <c:v>3.9299476706700753E-2</c:v>
                </c:pt>
                <c:pt idx="181">
                  <c:v>4.2419640379538492E-3</c:v>
                </c:pt>
                <c:pt idx="182">
                  <c:v>1.5514104028817588E-2</c:v>
                </c:pt>
                <c:pt idx="183">
                  <c:v>1.243602843279068E-2</c:v>
                </c:pt>
                <c:pt idx="184">
                  <c:v>-6.717749092730374E-3</c:v>
                </c:pt>
                <c:pt idx="185">
                  <c:v>-4.1935273405354634E-2</c:v>
                </c:pt>
                <c:pt idx="186">
                  <c:v>1.6031562740569605E-2</c:v>
                </c:pt>
                <c:pt idx="187">
                  <c:v>-2.5890028308430679E-2</c:v>
                </c:pt>
                <c:pt idx="188">
                  <c:v>-1.0570942172061559E-2</c:v>
                </c:pt>
                <c:pt idx="189">
                  <c:v>-2.2312110437751054E-3</c:v>
                </c:pt>
                <c:pt idx="190">
                  <c:v>-1.9100275944423761E-2</c:v>
                </c:pt>
                <c:pt idx="191">
                  <c:v>9.6411944164980223E-3</c:v>
                </c:pt>
                <c:pt idx="192">
                  <c:v>5.251272896266368E-3</c:v>
                </c:pt>
                <c:pt idx="193">
                  <c:v>1.4545643368989447E-2</c:v>
                </c:pt>
                <c:pt idx="194">
                  <c:v>-1.2281087540089164E-3</c:v>
                </c:pt>
                <c:pt idx="195">
                  <c:v>5.5572012065634446E-3</c:v>
                </c:pt>
                <c:pt idx="196">
                  <c:v>2.966047997181942E-2</c:v>
                </c:pt>
                <c:pt idx="197">
                  <c:v>-8.4770497291641878E-4</c:v>
                </c:pt>
                <c:pt idx="198">
                  <c:v>2.7610339135881734E-3</c:v>
                </c:pt>
                <c:pt idx="199">
                  <c:v>-1.0919284563366882E-2</c:v>
                </c:pt>
                <c:pt idx="200">
                  <c:v>2.1665854804196139E-2</c:v>
                </c:pt>
                <c:pt idx="201">
                  <c:v>1.5906399674802563E-2</c:v>
                </c:pt>
                <c:pt idx="202">
                  <c:v>-9.2823421005976403E-3</c:v>
                </c:pt>
                <c:pt idx="203">
                  <c:v>1.2680420597205533E-2</c:v>
                </c:pt>
                <c:pt idx="204">
                  <c:v>1.9721062450031024E-3</c:v>
                </c:pt>
                <c:pt idx="205">
                  <c:v>-1.9755962164339058E-2</c:v>
                </c:pt>
                <c:pt idx="206">
                  <c:v>1.7701859913817009E-2</c:v>
                </c:pt>
                <c:pt idx="207">
                  <c:v>3.2956948398495056E-2</c:v>
                </c:pt>
                <c:pt idx="208">
                  <c:v>-2.2651196738232571E-4</c:v>
                </c:pt>
                <c:pt idx="209">
                  <c:v>1.2338558748864914E-2</c:v>
                </c:pt>
                <c:pt idx="210">
                  <c:v>-2.1681199354639857E-2</c:v>
                </c:pt>
                <c:pt idx="211">
                  <c:v>-7.35174944680278E-2</c:v>
                </c:pt>
                <c:pt idx="212">
                  <c:v>-4.3906414342949396E-2</c:v>
                </c:pt>
                <c:pt idx="213">
                  <c:v>-3.9227604077111122E-3</c:v>
                </c:pt>
                <c:pt idx="214">
                  <c:v>9.5024724997476717E-3</c:v>
                </c:pt>
                <c:pt idx="215">
                  <c:v>-5.3162229119571025E-3</c:v>
                </c:pt>
                <c:pt idx="216">
                  <c:v>7.9405229736895233E-3</c:v>
                </c:pt>
                <c:pt idx="217">
                  <c:v>1.0023095632268442E-2</c:v>
                </c:pt>
                <c:pt idx="218">
                  <c:v>-1.83028620042055E-2</c:v>
                </c:pt>
                <c:pt idx="219">
                  <c:v>5.7391009549023764E-3</c:v>
                </c:pt>
                <c:pt idx="220">
                  <c:v>1.1006767274708062E-2</c:v>
                </c:pt>
                <c:pt idx="221">
                  <c:v>-1.6917775798855894E-2</c:v>
                </c:pt>
                <c:pt idx="222">
                  <c:v>-2.6619265437124007E-2</c:v>
                </c:pt>
                <c:pt idx="223">
                  <c:v>9.8635700484994704E-3</c:v>
                </c:pt>
                <c:pt idx="224">
                  <c:v>1.9517195634258577E-2</c:v>
                </c:pt>
                <c:pt idx="225">
                  <c:v>3.2784809338262777E-2</c:v>
                </c:pt>
                <c:pt idx="226">
                  <c:v>1.0182304816646059E-3</c:v>
                </c:pt>
                <c:pt idx="227">
                  <c:v>2.0171206159690813E-2</c:v>
                </c:pt>
                <c:pt idx="228">
                  <c:v>-7.4298832386799907E-3</c:v>
                </c:pt>
                <c:pt idx="229">
                  <c:v>1.6362555390169176E-2</c:v>
                </c:pt>
                <c:pt idx="230">
                  <c:v>1.5983104320392183E-2</c:v>
                </c:pt>
                <c:pt idx="231">
                  <c:v>-9.2885388256617185E-3</c:v>
                </c:pt>
                <c:pt idx="232">
                  <c:v>-1.3949647968789392E-2</c:v>
                </c:pt>
                <c:pt idx="233">
                  <c:v>-1.6634598269155143E-3</c:v>
                </c:pt>
                <c:pt idx="234">
                  <c:v>1.9495165095358757E-2</c:v>
                </c:pt>
                <c:pt idx="235">
                  <c:v>6.692420634829177E-2</c:v>
                </c:pt>
                <c:pt idx="236">
                  <c:v>-1.4483502754273347E-2</c:v>
                </c:pt>
                <c:pt idx="237">
                  <c:v>-6.2012948899703435E-3</c:v>
                </c:pt>
                <c:pt idx="238">
                  <c:v>-7.908121557973935E-3</c:v>
                </c:pt>
                <c:pt idx="239">
                  <c:v>2.3610512512494353E-2</c:v>
                </c:pt>
                <c:pt idx="240">
                  <c:v>-1.0237885622487064E-2</c:v>
                </c:pt>
                <c:pt idx="241">
                  <c:v>2.9796898804572258E-2</c:v>
                </c:pt>
                <c:pt idx="242">
                  <c:v>1.2532324501321357E-2</c:v>
                </c:pt>
                <c:pt idx="243">
                  <c:v>3.3579908787459978E-2</c:v>
                </c:pt>
                <c:pt idx="244">
                  <c:v>-2.707030236990049E-2</c:v>
                </c:pt>
                <c:pt idx="245">
                  <c:v>-1.8327260837070258E-2</c:v>
                </c:pt>
                <c:pt idx="246">
                  <c:v>2.7782978784692824E-2</c:v>
                </c:pt>
                <c:pt idx="247">
                  <c:v>-4.2172497516830387E-2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7-48B5-B87B-7B1638577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066896"/>
        <c:axId val="380067376"/>
      </c:scatterChart>
      <c:valAx>
        <c:axId val="38006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80067376"/>
        <c:crosses val="autoZero"/>
        <c:crossBetween val="midCat"/>
      </c:valAx>
      <c:valAx>
        <c:axId val="380067376"/>
        <c:scaling>
          <c:orientation val="minMax"/>
        </c:scaling>
        <c:delete val="0"/>
        <c:axPos val="l"/>
        <c:majorGridlines>
          <c:spPr>
            <a:ln w="9525" cap="flat" cmpd="dbl" algn="ctr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80066896"/>
        <c:crosses val="autoZero"/>
        <c:crossBetween val="midCat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97972</xdr:colOff>
      <xdr:row>16</xdr:row>
      <xdr:rowOff>95250</xdr:rowOff>
    </xdr:from>
    <xdr:to>
      <xdr:col>27</xdr:col>
      <xdr:colOff>282122</xdr:colOff>
      <xdr:row>34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88DE5-0C7D-E7D0-1DFB-3BC85B29E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5"/>
  <sheetViews>
    <sheetView tabSelected="1" workbookViewId="0">
      <selection activeCell="B6" sqref="B6"/>
    </sheetView>
  </sheetViews>
  <sheetFormatPr defaultRowHeight="14.5" x14ac:dyDescent="0.35"/>
  <sheetData>
    <row r="3" spans="2:6" x14ac:dyDescent="0.35">
      <c r="B3" s="1" t="s">
        <v>0</v>
      </c>
      <c r="F3" t="s">
        <v>24</v>
      </c>
    </row>
    <row r="4" spans="2:6" x14ac:dyDescent="0.35">
      <c r="B4" s="1" t="s">
        <v>56</v>
      </c>
      <c r="F4" t="s">
        <v>53</v>
      </c>
    </row>
    <row r="5" spans="2:6" x14ac:dyDescent="0.35">
      <c r="B5" t="s">
        <v>74</v>
      </c>
      <c r="F5" t="s">
        <v>54</v>
      </c>
    </row>
  </sheetData>
  <hyperlinks>
    <hyperlink ref="B3" location="'beta estimator'!A1" display="beta estimator" xr:uid="{321C20EE-A010-41B2-AE4C-979BD6328888}"/>
    <hyperlink ref="B4" location="'adv port mg'!A1" display="adv port mg" xr:uid="{A60FE094-689A-4CB2-A844-67F1A562B2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D15D-9723-4029-88EB-3D12F4569C62}">
  <dimension ref="A1:B22"/>
  <sheetViews>
    <sheetView workbookViewId="0">
      <selection activeCell="B23" sqref="B23"/>
    </sheetView>
  </sheetViews>
  <sheetFormatPr defaultRowHeight="14.5" x14ac:dyDescent="0.35"/>
  <sheetData>
    <row r="1" spans="1:2" x14ac:dyDescent="0.35">
      <c r="A1" t="s">
        <v>1</v>
      </c>
    </row>
    <row r="2" spans="1:2" x14ac:dyDescent="0.35">
      <c r="B2" s="4" t="s">
        <v>75</v>
      </c>
    </row>
    <row r="3" spans="1:2" x14ac:dyDescent="0.35">
      <c r="B3" t="s">
        <v>76</v>
      </c>
    </row>
    <row r="4" spans="1:2" x14ac:dyDescent="0.35">
      <c r="B4" t="s">
        <v>77</v>
      </c>
    </row>
    <row r="5" spans="1:2" x14ac:dyDescent="0.35">
      <c r="B5" t="s">
        <v>78</v>
      </c>
    </row>
    <row r="6" spans="1:2" x14ac:dyDescent="0.35">
      <c r="B6" t="s">
        <v>79</v>
      </c>
    </row>
    <row r="7" spans="1:2" x14ac:dyDescent="0.35">
      <c r="B7" t="s">
        <v>80</v>
      </c>
    </row>
    <row r="9" spans="1:2" x14ac:dyDescent="0.35">
      <c r="B9" s="4" t="s">
        <v>81</v>
      </c>
    </row>
    <row r="10" spans="1:2" x14ac:dyDescent="0.35">
      <c r="B10" t="s">
        <v>82</v>
      </c>
    </row>
    <row r="11" spans="1:2" x14ac:dyDescent="0.35">
      <c r="B11" t="s">
        <v>83</v>
      </c>
    </row>
    <row r="12" spans="1:2" x14ac:dyDescent="0.35">
      <c r="B12" t="s">
        <v>84</v>
      </c>
    </row>
    <row r="13" spans="1:2" x14ac:dyDescent="0.35">
      <c r="B13" t="s">
        <v>85</v>
      </c>
    </row>
    <row r="14" spans="1:2" x14ac:dyDescent="0.35">
      <c r="B14" t="s">
        <v>86</v>
      </c>
    </row>
    <row r="15" spans="1:2" x14ac:dyDescent="0.35">
      <c r="B15" t="s">
        <v>87</v>
      </c>
    </row>
    <row r="16" spans="1:2" x14ac:dyDescent="0.35">
      <c r="B16" t="s">
        <v>88</v>
      </c>
    </row>
    <row r="18" spans="2:2" x14ac:dyDescent="0.35">
      <c r="B18" t="s">
        <v>89</v>
      </c>
    </row>
    <row r="20" spans="2:2" x14ac:dyDescent="0.35">
      <c r="B20" t="s">
        <v>90</v>
      </c>
    </row>
    <row r="22" spans="2:2" x14ac:dyDescent="0.35">
      <c r="B22" s="4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90C7-7F0A-4701-9129-F0F78A8E298C}">
  <dimension ref="A1:C21"/>
  <sheetViews>
    <sheetView workbookViewId="0">
      <selection activeCell="C22" sqref="C22"/>
    </sheetView>
  </sheetViews>
  <sheetFormatPr defaultRowHeight="14.5" x14ac:dyDescent="0.35"/>
  <cols>
    <col min="1" max="1" width="5" bestFit="1" customWidth="1"/>
  </cols>
  <sheetData>
    <row r="1" spans="1:3" x14ac:dyDescent="0.35">
      <c r="A1" s="1" t="s">
        <v>1</v>
      </c>
    </row>
    <row r="2" spans="1:3" x14ac:dyDescent="0.35">
      <c r="C2" s="4" t="s">
        <v>57</v>
      </c>
    </row>
    <row r="3" spans="1:3" x14ac:dyDescent="0.35">
      <c r="C3" t="s">
        <v>58</v>
      </c>
    </row>
    <row r="4" spans="1:3" x14ac:dyDescent="0.35">
      <c r="C4" t="s">
        <v>59</v>
      </c>
    </row>
    <row r="5" spans="1:3" x14ac:dyDescent="0.35">
      <c r="C5" t="s">
        <v>60</v>
      </c>
    </row>
    <row r="6" spans="1:3" x14ac:dyDescent="0.35">
      <c r="C6" t="s">
        <v>61</v>
      </c>
    </row>
    <row r="7" spans="1:3" x14ac:dyDescent="0.35">
      <c r="C7" t="s">
        <v>62</v>
      </c>
    </row>
    <row r="9" spans="1:3" x14ac:dyDescent="0.35">
      <c r="C9" s="4" t="s">
        <v>63</v>
      </c>
    </row>
    <row r="10" spans="1:3" x14ac:dyDescent="0.35">
      <c r="C10" t="s">
        <v>64</v>
      </c>
    </row>
    <row r="11" spans="1:3" x14ac:dyDescent="0.35">
      <c r="C11" t="s">
        <v>65</v>
      </c>
    </row>
    <row r="12" spans="1:3" x14ac:dyDescent="0.35">
      <c r="C12" t="s">
        <v>66</v>
      </c>
    </row>
    <row r="14" spans="1:3" x14ac:dyDescent="0.35">
      <c r="C14" s="4" t="s">
        <v>67</v>
      </c>
    </row>
    <row r="15" spans="1:3" x14ac:dyDescent="0.35">
      <c r="C15" t="s">
        <v>68</v>
      </c>
    </row>
    <row r="16" spans="1:3" x14ac:dyDescent="0.35">
      <c r="C16" t="s">
        <v>69</v>
      </c>
    </row>
    <row r="17" spans="3:3" x14ac:dyDescent="0.35">
      <c r="C17" t="s">
        <v>70</v>
      </c>
    </row>
    <row r="18" spans="3:3" x14ac:dyDescent="0.35">
      <c r="C18" t="s">
        <v>71</v>
      </c>
    </row>
    <row r="19" spans="3:3" x14ac:dyDescent="0.35">
      <c r="C19" t="s">
        <v>72</v>
      </c>
    </row>
    <row r="21" spans="3:3" x14ac:dyDescent="0.35">
      <c r="C21" t="s">
        <v>73</v>
      </c>
    </row>
  </sheetData>
  <hyperlinks>
    <hyperlink ref="A1" location="main!A1" display="main" xr:uid="{31C5EFE8-99A9-49DF-AB38-C2D45D6FAE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6EFB-F37C-4474-9ADD-81BC6C579F6D}">
  <dimension ref="A1:AM252"/>
  <sheetViews>
    <sheetView topLeftCell="AA1" zoomScale="115" zoomScaleNormal="115" workbookViewId="0">
      <selection activeCell="AF12" sqref="AF12"/>
    </sheetView>
  </sheetViews>
  <sheetFormatPr defaultRowHeight="14.5" x14ac:dyDescent="0.35"/>
  <cols>
    <col min="1" max="1" width="5" bestFit="1" customWidth="1"/>
    <col min="5" max="5" width="10.81640625" bestFit="1" customWidth="1"/>
    <col min="6" max="6" width="10.81640625" customWidth="1"/>
    <col min="18" max="18" width="19.54296875" bestFit="1" customWidth="1"/>
    <col min="29" max="29" width="80.453125" bestFit="1" customWidth="1"/>
    <col min="31" max="31" width="17.54296875" bestFit="1" customWidth="1"/>
    <col min="36" max="36" width="17.7265625" bestFit="1" customWidth="1"/>
  </cols>
  <sheetData>
    <row r="1" spans="1:39" x14ac:dyDescent="0.35">
      <c r="A1" s="1" t="s">
        <v>1</v>
      </c>
    </row>
    <row r="2" spans="1:39" x14ac:dyDescent="0.35">
      <c r="C2" t="s">
        <v>5</v>
      </c>
      <c r="G2" t="s">
        <v>6</v>
      </c>
      <c r="O2" t="s">
        <v>7</v>
      </c>
      <c r="AC2" s="4" t="s">
        <v>46</v>
      </c>
      <c r="AD2" s="7" t="s">
        <v>28</v>
      </c>
      <c r="AE2" t="s">
        <v>45</v>
      </c>
      <c r="AJ2" s="7" t="s">
        <v>51</v>
      </c>
    </row>
    <row r="3" spans="1:39" x14ac:dyDescent="0.35">
      <c r="C3" t="s">
        <v>2</v>
      </c>
      <c r="G3" t="s">
        <v>3</v>
      </c>
      <c r="K3" t="s">
        <v>4</v>
      </c>
      <c r="O3" t="s">
        <v>8</v>
      </c>
      <c r="R3" t="s">
        <v>12</v>
      </c>
      <c r="T3" t="s">
        <v>10</v>
      </c>
      <c r="AC3" t="s">
        <v>41</v>
      </c>
      <c r="AE3" s="4" t="s">
        <v>29</v>
      </c>
      <c r="AF3" s="4" t="s">
        <v>4</v>
      </c>
      <c r="AG3" s="4" t="s">
        <v>3</v>
      </c>
      <c r="AH3" s="4" t="s">
        <v>2</v>
      </c>
      <c r="AJ3" s="4" t="s">
        <v>29</v>
      </c>
      <c r="AK3" s="4" t="s">
        <v>4</v>
      </c>
      <c r="AL3" s="4" t="s">
        <v>3</v>
      </c>
      <c r="AM3" s="4" t="s">
        <v>2</v>
      </c>
    </row>
    <row r="4" spans="1:39" x14ac:dyDescent="0.35">
      <c r="B4">
        <f t="shared" ref="B4:B67" si="0">B5*1+D4</f>
        <v>1.1451202651322936</v>
      </c>
      <c r="C4" s="2">
        <v>599.14</v>
      </c>
      <c r="D4">
        <f>C4/C5-1</f>
        <v>1.0268948655256738E-2</v>
      </c>
      <c r="E4" s="3">
        <f>_xlfn.STDEV.S(D4:D251)</f>
        <v>1.2930496509875806E-2</v>
      </c>
      <c r="F4">
        <f t="shared" ref="F4:F67" si="1">F5*1+H4</f>
        <v>0.20967620218681282</v>
      </c>
      <c r="G4" s="2">
        <v>43.01</v>
      </c>
      <c r="H4">
        <f>G4/G5-1</f>
        <v>9.6914052537617978E-2</v>
      </c>
      <c r="I4" s="3">
        <f>_xlfn.STDEV.S(H4:H251)</f>
        <v>4.4412147147297562E-2</v>
      </c>
      <c r="J4">
        <f t="shared" ref="J4:J67" si="2">J5*1+L4</f>
        <v>1.4067521387738469</v>
      </c>
      <c r="K4" s="2">
        <v>59.22</v>
      </c>
      <c r="L4">
        <f>K4/K5-1</f>
        <v>3.0809399477806698E-2</v>
      </c>
      <c r="M4" s="3">
        <f>_xlfn.STDEV.S(L4:L251)</f>
        <v>2.8357457296608296E-2</v>
      </c>
      <c r="O4" cm="1">
        <f t="array" ref="O4:P4">LINEST(H4:H251,D4:D251, TRUE)</f>
        <v>1.1328053358957542</v>
      </c>
      <c r="P4">
        <v>-3.8496645504099013E-3</v>
      </c>
      <c r="R4" s="3">
        <f>(O4*E4)^2</f>
        <v>2.1455615358376623E-4</v>
      </c>
      <c r="T4" s="3">
        <f>SQRT(I4^2-R4)</f>
        <v>4.1927111284340166E-2</v>
      </c>
      <c r="AC4" t="s">
        <v>42</v>
      </c>
      <c r="AE4" s="4" t="s">
        <v>30</v>
      </c>
      <c r="AF4">
        <v>1.54</v>
      </c>
      <c r="AG4">
        <v>1.1299999999999999</v>
      </c>
      <c r="AH4">
        <v>1</v>
      </c>
      <c r="AJ4" s="4" t="s">
        <v>30</v>
      </c>
      <c r="AK4">
        <v>1.54</v>
      </c>
      <c r="AL4">
        <v>1.1299999999999999</v>
      </c>
      <c r="AM4">
        <v>1</v>
      </c>
    </row>
    <row r="5" spans="1:39" x14ac:dyDescent="0.35">
      <c r="B5">
        <f t="shared" si="0"/>
        <v>1.1348513164770369</v>
      </c>
      <c r="C5" s="2">
        <v>593.04999999999995</v>
      </c>
      <c r="D5">
        <f t="shared" ref="D5:D68" si="3">C5/C6-1</f>
        <v>-4.8327823737687181E-3</v>
      </c>
      <c r="E5" s="3"/>
      <c r="F5">
        <f t="shared" si="1"/>
        <v>0.11276214964919484</v>
      </c>
      <c r="G5" s="2">
        <v>39.21</v>
      </c>
      <c r="H5">
        <f t="shared" ref="H5:H68" si="4">G5/G6-1</f>
        <v>-8.3459787556904308E-3</v>
      </c>
      <c r="I5" s="3">
        <f>I4^2</f>
        <v>1.9724388142332108E-3</v>
      </c>
      <c r="J5">
        <f t="shared" si="2"/>
        <v>1.3759427392960402</v>
      </c>
      <c r="K5" s="2">
        <v>57.45</v>
      </c>
      <c r="L5">
        <f t="shared" ref="L5:L68" si="5">K5/K6-1</f>
        <v>-7.2576464489372272E-3</v>
      </c>
      <c r="M5" s="3">
        <f>M4^2</f>
        <v>8.0414538432896311E-4</v>
      </c>
      <c r="O5" t="s">
        <v>9</v>
      </c>
      <c r="R5" t="s">
        <v>18</v>
      </c>
      <c r="T5" t="s">
        <v>11</v>
      </c>
      <c r="U5" t="s">
        <v>21</v>
      </c>
      <c r="AC5" t="s">
        <v>43</v>
      </c>
      <c r="AE5" s="4" t="s">
        <v>31</v>
      </c>
      <c r="AF5">
        <v>0</v>
      </c>
      <c r="AG5">
        <v>0</v>
      </c>
      <c r="AH5" s="5">
        <v>1.29E-2</v>
      </c>
      <c r="AJ5" s="4" t="s">
        <v>31</v>
      </c>
      <c r="AK5">
        <v>0</v>
      </c>
      <c r="AL5">
        <v>0</v>
      </c>
      <c r="AM5" s="5">
        <v>1.29E-2</v>
      </c>
    </row>
    <row r="6" spans="1:39" x14ac:dyDescent="0.35">
      <c r="B6">
        <f t="shared" si="0"/>
        <v>1.1396840988508057</v>
      </c>
      <c r="C6" s="2">
        <v>595.92999999999995</v>
      </c>
      <c r="D6">
        <f t="shared" si="3"/>
        <v>-2.6841584324532874E-4</v>
      </c>
      <c r="F6">
        <f t="shared" si="1"/>
        <v>0.12110812840488527</v>
      </c>
      <c r="G6" s="2">
        <v>39.54</v>
      </c>
      <c r="H6">
        <f t="shared" si="4"/>
        <v>1.723694365834838E-2</v>
      </c>
      <c r="J6">
        <f t="shared" si="2"/>
        <v>1.3832003857449773</v>
      </c>
      <c r="K6" s="2">
        <v>57.87</v>
      </c>
      <c r="L6">
        <f t="shared" si="5"/>
        <v>-1.9484920365977709E-2</v>
      </c>
      <c r="O6" cm="1">
        <f t="array" ref="O6:P6">LINEST(L4:L251,D4:D251,TRUE)</f>
        <v>1.5498815973069207</v>
      </c>
      <c r="P6">
        <v>7.3319721955243753E-4</v>
      </c>
      <c r="R6" s="3">
        <f>(O6*E4)^2</f>
        <v>4.016312030201982E-4</v>
      </c>
      <c r="T6" s="3">
        <f>SQRT(M4^2-R6)</f>
        <v>2.0062756074596653E-2</v>
      </c>
      <c r="AC6" t="s">
        <v>44</v>
      </c>
      <c r="AE6" s="4" t="s">
        <v>32</v>
      </c>
      <c r="AF6" s="5">
        <v>2.01E-2</v>
      </c>
      <c r="AG6" s="5">
        <v>4.19E-2</v>
      </c>
      <c r="AH6">
        <v>0</v>
      </c>
      <c r="AJ6" s="4" t="s">
        <v>32</v>
      </c>
      <c r="AK6" s="5">
        <v>2.01E-2</v>
      </c>
      <c r="AL6" s="5">
        <v>4.19E-2</v>
      </c>
      <c r="AM6">
        <v>0</v>
      </c>
    </row>
    <row r="7" spans="1:39" x14ac:dyDescent="0.35">
      <c r="B7">
        <f t="shared" si="0"/>
        <v>1.139952514694051</v>
      </c>
      <c r="C7" s="2">
        <v>596.09</v>
      </c>
      <c r="D7">
        <f t="shared" si="3"/>
        <v>5.7026201683791911E-3</v>
      </c>
      <c r="F7">
        <f t="shared" si="1"/>
        <v>0.10387118474653689</v>
      </c>
      <c r="G7" s="2">
        <v>38.869999999999997</v>
      </c>
      <c r="H7">
        <f t="shared" si="4"/>
        <v>2.9941706412294433E-2</v>
      </c>
      <c r="J7">
        <f t="shared" si="2"/>
        <v>1.402685306110955</v>
      </c>
      <c r="K7" s="2">
        <v>59.02</v>
      </c>
      <c r="L7">
        <f t="shared" si="5"/>
        <v>1.5310510923791432E-2</v>
      </c>
      <c r="O7" t="s">
        <v>23</v>
      </c>
      <c r="AE7" s="4" t="s">
        <v>33</v>
      </c>
      <c r="AF7" t="s">
        <v>35</v>
      </c>
      <c r="AG7" t="s">
        <v>34</v>
      </c>
      <c r="AH7" t="s">
        <v>34</v>
      </c>
      <c r="AJ7" s="4" t="s">
        <v>33</v>
      </c>
      <c r="AK7" t="s">
        <v>35</v>
      </c>
      <c r="AL7" t="s">
        <v>34</v>
      </c>
      <c r="AM7" s="6" t="s">
        <v>52</v>
      </c>
    </row>
    <row r="8" spans="1:39" x14ac:dyDescent="0.35">
      <c r="B8">
        <f t="shared" si="0"/>
        <v>1.1342498945256718</v>
      </c>
      <c r="C8" s="2">
        <v>592.71</v>
      </c>
      <c r="D8">
        <f t="shared" si="3"/>
        <v>5.6329425338061956E-3</v>
      </c>
      <c r="F8">
        <f t="shared" si="1"/>
        <v>7.392947833424246E-2</v>
      </c>
      <c r="G8" s="2">
        <v>37.74</v>
      </c>
      <c r="H8">
        <f t="shared" si="4"/>
        <v>3.7234042553191404E-3</v>
      </c>
      <c r="J8">
        <f t="shared" si="2"/>
        <v>1.3873747951871636</v>
      </c>
      <c r="K8" s="2">
        <v>58.13</v>
      </c>
      <c r="L8">
        <f t="shared" si="5"/>
        <v>8.326105810928075E-3</v>
      </c>
      <c r="AC8" s="4" t="s">
        <v>47</v>
      </c>
    </row>
    <row r="9" spans="1:39" x14ac:dyDescent="0.35">
      <c r="B9">
        <f t="shared" si="0"/>
        <v>1.1286169519918656</v>
      </c>
      <c r="C9" s="2">
        <v>589.39</v>
      </c>
      <c r="D9">
        <f t="shared" si="3"/>
        <v>-1.1185492754850479E-3</v>
      </c>
      <c r="E9" s="3"/>
      <c r="F9">
        <f t="shared" si="1"/>
        <v>7.020607407892332E-2</v>
      </c>
      <c r="G9" s="2">
        <v>37.6</v>
      </c>
      <c r="H9">
        <f t="shared" si="4"/>
        <v>-2.61590261590261E-2</v>
      </c>
      <c r="J9">
        <f t="shared" si="2"/>
        <v>1.3790486893762355</v>
      </c>
      <c r="K9" s="2">
        <v>57.65</v>
      </c>
      <c r="L9">
        <f t="shared" si="5"/>
        <v>-1.0300429184549431E-2</v>
      </c>
      <c r="S9" t="s">
        <v>24</v>
      </c>
      <c r="AC9" t="s">
        <v>48</v>
      </c>
      <c r="AE9" s="4" t="s">
        <v>36</v>
      </c>
      <c r="AF9">
        <f>AF4*5+AG4*10+AH4*10</f>
        <v>29</v>
      </c>
      <c r="AG9" t="s">
        <v>38</v>
      </c>
      <c r="AJ9" s="4" t="s">
        <v>36</v>
      </c>
      <c r="AK9">
        <f>AK4*5+AL4*10+AM4*-19</f>
        <v>0</v>
      </c>
      <c r="AL9" t="s">
        <v>38</v>
      </c>
    </row>
    <row r="10" spans="1:39" x14ac:dyDescent="0.35">
      <c r="B10">
        <f t="shared" si="0"/>
        <v>1.1297355012673507</v>
      </c>
      <c r="C10" s="2">
        <v>590.04999999999995</v>
      </c>
      <c r="D10">
        <f t="shared" si="3"/>
        <v>3.9473908087046539E-3</v>
      </c>
      <c r="F10">
        <f t="shared" si="1"/>
        <v>9.6365100237949419E-2</v>
      </c>
      <c r="G10" s="2">
        <v>38.61</v>
      </c>
      <c r="H10">
        <f t="shared" si="4"/>
        <v>3.7066881547139552E-2</v>
      </c>
      <c r="J10">
        <f t="shared" si="2"/>
        <v>1.3893491185607849</v>
      </c>
      <c r="K10" s="2">
        <v>58.25</v>
      </c>
      <c r="L10">
        <f t="shared" si="5"/>
        <v>-1.0289830217802276E-3</v>
      </c>
      <c r="S10" t="s">
        <v>25</v>
      </c>
      <c r="AC10" t="s">
        <v>49</v>
      </c>
      <c r="AE10" s="4" t="s">
        <v>37</v>
      </c>
      <c r="AF10">
        <f>AF9*AH5</f>
        <v>0.37409999999999999</v>
      </c>
      <c r="AG10" t="s">
        <v>38</v>
      </c>
      <c r="AJ10" s="4" t="s">
        <v>37</v>
      </c>
      <c r="AK10">
        <f>AK9*AM5</f>
        <v>0</v>
      </c>
      <c r="AL10" t="s">
        <v>38</v>
      </c>
    </row>
    <row r="11" spans="1:39" x14ac:dyDescent="0.35">
      <c r="B11">
        <f t="shared" si="0"/>
        <v>1.125788110458646</v>
      </c>
      <c r="C11" s="2">
        <v>587.73</v>
      </c>
      <c r="D11">
        <f t="shared" si="3"/>
        <v>-5.7853336716569004E-3</v>
      </c>
      <c r="F11">
        <f t="shared" si="1"/>
        <v>5.9298218690809867E-2</v>
      </c>
      <c r="G11" s="2">
        <v>37.229999999999997</v>
      </c>
      <c r="H11">
        <f t="shared" si="4"/>
        <v>-2.9204693611473376E-2</v>
      </c>
      <c r="J11">
        <f t="shared" si="2"/>
        <v>1.3903781015825651</v>
      </c>
      <c r="K11" s="2">
        <v>58.31</v>
      </c>
      <c r="L11">
        <f t="shared" si="5"/>
        <v>-1.2029820399864444E-2</v>
      </c>
      <c r="S11" t="s">
        <v>26</v>
      </c>
      <c r="AC11" t="s">
        <v>50</v>
      </c>
      <c r="AE11" s="4" t="s">
        <v>39</v>
      </c>
      <c r="AF11">
        <f>SQRT((5*AF6)^2+(10*AG6)^2)</f>
        <v>0.43088426520354628</v>
      </c>
      <c r="AG11" t="s">
        <v>38</v>
      </c>
      <c r="AJ11" s="4" t="s">
        <v>39</v>
      </c>
      <c r="AK11">
        <f>SQRT((5*AK6)^2+(10*AL6)^2)</f>
        <v>0.43088426520354628</v>
      </c>
      <c r="AL11" t="s">
        <v>38</v>
      </c>
    </row>
    <row r="12" spans="1:39" x14ac:dyDescent="0.35">
      <c r="B12">
        <f t="shared" si="0"/>
        <v>1.1315734441303029</v>
      </c>
      <c r="C12" s="2">
        <v>591.15</v>
      </c>
      <c r="D12">
        <f t="shared" si="3"/>
        <v>2.0790523389338844E-2</v>
      </c>
      <c r="F12">
        <f t="shared" si="1"/>
        <v>8.8502912302283243E-2</v>
      </c>
      <c r="G12" s="2">
        <v>38.35</v>
      </c>
      <c r="H12">
        <f t="shared" si="4"/>
        <v>1.1873350923482962E-2</v>
      </c>
      <c r="J12">
        <f t="shared" si="2"/>
        <v>1.4024079219824295</v>
      </c>
      <c r="K12" s="2">
        <v>59.02</v>
      </c>
      <c r="L12">
        <f t="shared" si="5"/>
        <v>4.0183292210081101E-2</v>
      </c>
      <c r="P12" s="4" t="s">
        <v>19</v>
      </c>
      <c r="Q12" s="4" t="s">
        <v>20</v>
      </c>
      <c r="S12" t="s">
        <v>27</v>
      </c>
      <c r="AE12" s="4" t="s">
        <v>40</v>
      </c>
      <c r="AF12">
        <f>SQRT(AF11^2+AF10^2)</f>
        <v>0.57062427217916345</v>
      </c>
      <c r="AG12" t="s">
        <v>38</v>
      </c>
      <c r="AJ12" s="4" t="s">
        <v>40</v>
      </c>
      <c r="AK12">
        <f>SQRT(AK11^2+AK10^2)</f>
        <v>0.43088426520354628</v>
      </c>
      <c r="AL12" t="s">
        <v>38</v>
      </c>
    </row>
    <row r="13" spans="1:39" x14ac:dyDescent="0.35">
      <c r="B13">
        <f t="shared" si="0"/>
        <v>1.1107829207409641</v>
      </c>
      <c r="C13" s="2">
        <v>579.11</v>
      </c>
      <c r="D13">
        <f t="shared" si="3"/>
        <v>-6.8257044367079356E-3</v>
      </c>
      <c r="F13">
        <f t="shared" si="1"/>
        <v>7.6629561378800282E-2</v>
      </c>
      <c r="G13" s="2">
        <v>37.9</v>
      </c>
      <c r="H13">
        <f t="shared" si="4"/>
        <v>-2.2944057746841939E-2</v>
      </c>
      <c r="J13">
        <f t="shared" si="2"/>
        <v>1.3622246297723484</v>
      </c>
      <c r="K13" s="2">
        <v>56.74</v>
      </c>
      <c r="L13">
        <f t="shared" si="5"/>
        <v>-1.2530455969369969E-2</v>
      </c>
      <c r="O13" s="4" t="s">
        <v>13</v>
      </c>
      <c r="P13" cm="1">
        <f t="array" ref="P13:Q17">LINEST(H4:H251,D4:D251,TRUE,TRUE)</f>
        <v>1.1328053358957542</v>
      </c>
      <c r="Q13">
        <v>-3.8496645504099013E-3</v>
      </c>
    </row>
    <row r="14" spans="1:39" x14ac:dyDescent="0.35">
      <c r="B14">
        <f t="shared" si="0"/>
        <v>1.117608625177672</v>
      </c>
      <c r="C14" s="2">
        <v>583.09</v>
      </c>
      <c r="D14">
        <f t="shared" si="3"/>
        <v>3.9460590879469848E-4</v>
      </c>
      <c r="F14">
        <f t="shared" si="1"/>
        <v>9.9573619125642221E-2</v>
      </c>
      <c r="G14" s="2">
        <v>38.79</v>
      </c>
      <c r="H14">
        <f t="shared" si="4"/>
        <v>-3.1460674157303359E-2</v>
      </c>
      <c r="J14">
        <f t="shared" si="2"/>
        <v>1.3747550857417183</v>
      </c>
      <c r="K14" s="2">
        <v>57.46</v>
      </c>
      <c r="L14">
        <f t="shared" si="5"/>
        <v>3.8434661076169885E-3</v>
      </c>
      <c r="O14" s="4" t="s">
        <v>14</v>
      </c>
      <c r="P14">
        <v>0.20673413260267107</v>
      </c>
      <c r="Q14">
        <v>2.6705214807592106E-3</v>
      </c>
    </row>
    <row r="15" spans="1:39" x14ac:dyDescent="0.35">
      <c r="B15">
        <f t="shared" si="0"/>
        <v>1.1172140192688773</v>
      </c>
      <c r="C15" s="2">
        <v>582.86</v>
      </c>
      <c r="D15">
        <f t="shared" si="3"/>
        <v>-1.6850805431390725E-2</v>
      </c>
      <c r="F15">
        <f t="shared" si="1"/>
        <v>0.13103429328294558</v>
      </c>
      <c r="G15" s="2">
        <v>40.049999999999997</v>
      </c>
      <c r="H15">
        <f t="shared" si="4"/>
        <v>1.5003750937734317E-3</v>
      </c>
      <c r="J15">
        <f t="shared" si="2"/>
        <v>1.3709116196341014</v>
      </c>
      <c r="K15" s="2">
        <v>57.24</v>
      </c>
      <c r="L15">
        <f t="shared" si="5"/>
        <v>-4.3449197860962574E-2</v>
      </c>
      <c r="O15" s="4" t="s">
        <v>15</v>
      </c>
      <c r="P15">
        <v>0.10877708957840307</v>
      </c>
      <c r="Q15">
        <v>4.2012242562420171E-2</v>
      </c>
    </row>
    <row r="16" spans="1:39" x14ac:dyDescent="0.35">
      <c r="B16">
        <f t="shared" si="0"/>
        <v>1.134064824700268</v>
      </c>
      <c r="C16" s="2">
        <v>592.85</v>
      </c>
      <c r="D16">
        <f t="shared" si="3"/>
        <v>-3.3621921492813511E-3</v>
      </c>
      <c r="F16">
        <f t="shared" si="1"/>
        <v>0.12953391818917215</v>
      </c>
      <c r="G16" s="2">
        <v>39.99</v>
      </c>
      <c r="H16">
        <f t="shared" si="4"/>
        <v>5.4032683183974806E-2</v>
      </c>
      <c r="J16">
        <f t="shared" si="2"/>
        <v>1.4143608174950639</v>
      </c>
      <c r="K16" s="2">
        <v>59.84</v>
      </c>
      <c r="L16">
        <f t="shared" si="5"/>
        <v>-3.4970857618650264E-3</v>
      </c>
      <c r="O16" s="4" t="s">
        <v>16</v>
      </c>
      <c r="P16">
        <v>30.025220091827098</v>
      </c>
      <c r="Q16">
        <v>246</v>
      </c>
      <c r="S16" t="s">
        <v>55</v>
      </c>
    </row>
    <row r="17" spans="2:17" x14ac:dyDescent="0.35">
      <c r="B17">
        <f t="shared" si="0"/>
        <v>1.1374270168495495</v>
      </c>
      <c r="C17" s="2">
        <v>594.85</v>
      </c>
      <c r="D17">
        <f t="shared" si="3"/>
        <v>1.0939077751599413E-3</v>
      </c>
      <c r="F17">
        <f t="shared" si="1"/>
        <v>7.5501235005197342E-2</v>
      </c>
      <c r="G17" s="2">
        <v>37.94</v>
      </c>
      <c r="H17">
        <f t="shared" si="4"/>
        <v>4.1449354927257653E-2</v>
      </c>
      <c r="J17">
        <f t="shared" si="2"/>
        <v>1.417857903256929</v>
      </c>
      <c r="K17" s="2">
        <v>60.05</v>
      </c>
      <c r="L17">
        <f t="shared" si="5"/>
        <v>-1.2335526315789491E-2</v>
      </c>
      <c r="O17" s="4" t="s">
        <v>17</v>
      </c>
      <c r="P17">
        <v>5.299536993518994E-2</v>
      </c>
      <c r="Q17">
        <v>0.43419701718041276</v>
      </c>
    </row>
    <row r="18" spans="2:17" x14ac:dyDescent="0.35">
      <c r="B18">
        <f t="shared" si="0"/>
        <v>1.1363331090743896</v>
      </c>
      <c r="C18" s="2">
        <v>594.20000000000005</v>
      </c>
      <c r="D18">
        <f t="shared" si="3"/>
        <v>6.3340446431596753E-3</v>
      </c>
      <c r="F18">
        <f t="shared" si="1"/>
        <v>3.4051880077939689E-2</v>
      </c>
      <c r="G18" s="2">
        <v>36.43</v>
      </c>
      <c r="H18">
        <f t="shared" si="4"/>
        <v>3.2889140912957027E-2</v>
      </c>
      <c r="J18">
        <f t="shared" si="2"/>
        <v>1.4301934295727186</v>
      </c>
      <c r="K18" s="2">
        <v>60.8</v>
      </c>
      <c r="L18">
        <f t="shared" si="5"/>
        <v>5.1248140188460134E-3</v>
      </c>
    </row>
    <row r="19" spans="2:17" x14ac:dyDescent="0.35">
      <c r="B19">
        <f t="shared" si="0"/>
        <v>1.1299990644312299</v>
      </c>
      <c r="C19" s="2">
        <v>590.46</v>
      </c>
      <c r="D19">
        <f t="shared" si="3"/>
        <v>4.884358140880618E-3</v>
      </c>
      <c r="F19">
        <f t="shared" si="1"/>
        <v>1.1627391649826624E-3</v>
      </c>
      <c r="G19" s="2">
        <v>35.270000000000003</v>
      </c>
      <c r="H19">
        <f t="shared" si="4"/>
        <v>-1.3150531617235561E-2</v>
      </c>
      <c r="J19">
        <f t="shared" si="2"/>
        <v>1.4250686155538725</v>
      </c>
      <c r="K19" s="2">
        <v>60.49</v>
      </c>
      <c r="L19">
        <f t="shared" si="5"/>
        <v>-9.9836333878886574E-3</v>
      </c>
      <c r="O19" t="s">
        <v>22</v>
      </c>
    </row>
    <row r="20" spans="2:17" x14ac:dyDescent="0.35">
      <c r="B20">
        <f t="shared" si="0"/>
        <v>1.1251147062903493</v>
      </c>
      <c r="C20" s="2">
        <v>587.59</v>
      </c>
      <c r="D20">
        <f t="shared" si="3"/>
        <v>1.2780314906959411E-3</v>
      </c>
      <c r="F20">
        <f t="shared" si="1"/>
        <v>1.4313270782218224E-2</v>
      </c>
      <c r="G20" s="2">
        <v>35.74</v>
      </c>
      <c r="H20">
        <f t="shared" si="4"/>
        <v>-1.270718232044199E-2</v>
      </c>
      <c r="J20">
        <f t="shared" si="2"/>
        <v>1.4350522489417612</v>
      </c>
      <c r="K20" s="2">
        <v>61.1</v>
      </c>
      <c r="L20">
        <f t="shared" si="5"/>
        <v>-4.237288135593209E-3</v>
      </c>
      <c r="P20" t="s">
        <v>19</v>
      </c>
      <c r="Q20" t="s">
        <v>20</v>
      </c>
    </row>
    <row r="21" spans="2:17" x14ac:dyDescent="0.35">
      <c r="B21">
        <f t="shared" si="0"/>
        <v>1.1238366747996533</v>
      </c>
      <c r="C21" s="2">
        <v>586.84</v>
      </c>
      <c r="D21">
        <f t="shared" si="3"/>
        <v>6.6038868591229427E-3</v>
      </c>
      <c r="F21">
        <f t="shared" si="1"/>
        <v>2.7020453102660213E-2</v>
      </c>
      <c r="G21" s="2">
        <v>36.200000000000003</v>
      </c>
      <c r="H21">
        <f t="shared" si="4"/>
        <v>-4.674182018146622E-3</v>
      </c>
      <c r="J21">
        <f t="shared" si="2"/>
        <v>1.4392895370773544</v>
      </c>
      <c r="K21" s="2">
        <v>61.36</v>
      </c>
      <c r="L21">
        <f t="shared" si="5"/>
        <v>1.656726308813794E-2</v>
      </c>
      <c r="O21" s="4" t="s">
        <v>13</v>
      </c>
      <c r="P21" cm="1">
        <f t="array" ref="P21:Q25">LINEST(L4:L251,D4:D251,TRUE,TRUE)</f>
        <v>1.5498815973069207</v>
      </c>
      <c r="Q21">
        <v>7.3319721955243753E-4</v>
      </c>
    </row>
    <row r="22" spans="2:17" x14ac:dyDescent="0.35">
      <c r="B22">
        <f t="shared" si="0"/>
        <v>1.1172327879405304</v>
      </c>
      <c r="C22" s="2">
        <v>582.99</v>
      </c>
      <c r="D22">
        <f t="shared" si="3"/>
        <v>3.3047453662685466E-2</v>
      </c>
      <c r="F22">
        <f t="shared" si="1"/>
        <v>3.1694635120806836E-2</v>
      </c>
      <c r="G22" s="2">
        <v>36.369999999999997</v>
      </c>
      <c r="H22">
        <f t="shared" si="4"/>
        <v>2.7570995312928837E-3</v>
      </c>
      <c r="J22">
        <f t="shared" si="2"/>
        <v>1.4227222739892165</v>
      </c>
      <c r="K22" s="2">
        <v>60.36</v>
      </c>
      <c r="L22">
        <f t="shared" si="5"/>
        <v>8.5026065072802304E-2</v>
      </c>
      <c r="O22" s="4" t="s">
        <v>14</v>
      </c>
      <c r="P22">
        <v>9.8925405248461926E-2</v>
      </c>
      <c r="Q22">
        <v>1.2778848677908847E-3</v>
      </c>
    </row>
    <row r="23" spans="2:17" x14ac:dyDescent="0.35">
      <c r="B23">
        <f t="shared" si="0"/>
        <v>1.0841853342778449</v>
      </c>
      <c r="C23" s="2">
        <v>564.34</v>
      </c>
      <c r="D23">
        <f t="shared" si="3"/>
        <v>-1.2742009698083478E-3</v>
      </c>
      <c r="F23">
        <f t="shared" si="1"/>
        <v>2.8937535589513952E-2</v>
      </c>
      <c r="G23" s="2">
        <v>36.270000000000003</v>
      </c>
      <c r="H23">
        <f t="shared" si="4"/>
        <v>-6.8455640744797819E-3</v>
      </c>
      <c r="J23">
        <f t="shared" si="2"/>
        <v>1.3376962089164142</v>
      </c>
      <c r="K23" s="2">
        <v>55.63</v>
      </c>
      <c r="L23">
        <f t="shared" si="5"/>
        <v>3.0652722683015554E-3</v>
      </c>
      <c r="O23" s="4" t="s">
        <v>15</v>
      </c>
      <c r="P23">
        <v>0.49945098342552496</v>
      </c>
      <c r="Q23">
        <v>2.010349267709844E-2</v>
      </c>
    </row>
    <row r="24" spans="2:17" x14ac:dyDescent="0.35">
      <c r="B24">
        <f t="shared" si="0"/>
        <v>1.0854595352476533</v>
      </c>
      <c r="C24" s="2">
        <v>565.05999999999995</v>
      </c>
      <c r="D24">
        <f t="shared" si="3"/>
        <v>6.967833912500998E-3</v>
      </c>
      <c r="F24">
        <f t="shared" si="1"/>
        <v>3.5783099663993734E-2</v>
      </c>
      <c r="G24" s="2">
        <v>36.520000000000003</v>
      </c>
      <c r="H24">
        <f t="shared" si="4"/>
        <v>-5.4466230936818238E-3</v>
      </c>
      <c r="J24">
        <f t="shared" si="2"/>
        <v>1.3346309366481126</v>
      </c>
      <c r="K24" s="2">
        <v>55.46</v>
      </c>
      <c r="L24">
        <f t="shared" si="5"/>
        <v>3.1430165519806597E-2</v>
      </c>
      <c r="O24" s="4" t="s">
        <v>16</v>
      </c>
      <c r="P24">
        <v>245.46036023306911</v>
      </c>
      <c r="Q24">
        <v>246</v>
      </c>
    </row>
    <row r="25" spans="2:17" x14ac:dyDescent="0.35">
      <c r="B25">
        <f t="shared" si="0"/>
        <v>1.0784917013351523</v>
      </c>
      <c r="C25" s="2">
        <v>561.15</v>
      </c>
      <c r="D25">
        <f t="shared" si="3"/>
        <v>4.2054402290623294E-3</v>
      </c>
      <c r="F25">
        <f t="shared" si="1"/>
        <v>4.1229722757675558E-2</v>
      </c>
      <c r="G25" s="2">
        <v>36.72</v>
      </c>
      <c r="H25">
        <f t="shared" si="4"/>
        <v>-0.21454545454545459</v>
      </c>
      <c r="J25">
        <f t="shared" si="2"/>
        <v>1.303200771128306</v>
      </c>
      <c r="K25" s="2">
        <v>53.77</v>
      </c>
      <c r="L25">
        <f t="shared" si="5"/>
        <v>6.9288389513109117E-3</v>
      </c>
      <c r="O25" s="4" t="s">
        <v>17</v>
      </c>
      <c r="P25">
        <v>9.9202907145988659E-2</v>
      </c>
      <c r="Q25">
        <v>9.9421002783265058E-2</v>
      </c>
    </row>
    <row r="26" spans="2:17" x14ac:dyDescent="0.35">
      <c r="B26">
        <f t="shared" si="0"/>
        <v>1.0742862611060899</v>
      </c>
      <c r="C26" s="2">
        <v>558.79999999999995</v>
      </c>
      <c r="D26">
        <f t="shared" si="3"/>
        <v>-8.3583254955547082E-3</v>
      </c>
      <c r="F26">
        <f t="shared" si="1"/>
        <v>0.25577517730313015</v>
      </c>
      <c r="G26" s="2">
        <v>46.75</v>
      </c>
      <c r="H26">
        <f t="shared" si="4"/>
        <v>-0.26562990889098326</v>
      </c>
      <c r="J26">
        <f t="shared" si="2"/>
        <v>1.2962719321769951</v>
      </c>
      <c r="K26" s="2">
        <v>53.4</v>
      </c>
      <c r="L26">
        <f t="shared" si="5"/>
        <v>-1.4760147601476148E-2</v>
      </c>
    </row>
    <row r="27" spans="2:17" x14ac:dyDescent="0.35">
      <c r="B27">
        <f t="shared" si="0"/>
        <v>1.0826445866016448</v>
      </c>
      <c r="C27" s="2">
        <v>563.51</v>
      </c>
      <c r="D27">
        <f t="shared" si="3"/>
        <v>-5.7343496365304114E-3</v>
      </c>
      <c r="F27">
        <f t="shared" si="1"/>
        <v>0.52140508619411341</v>
      </c>
      <c r="G27" s="2">
        <v>63.66</v>
      </c>
      <c r="H27">
        <f t="shared" si="4"/>
        <v>2.3618327822390039E-3</v>
      </c>
      <c r="J27">
        <f t="shared" si="2"/>
        <v>1.3110320797784711</v>
      </c>
      <c r="K27" s="2">
        <v>54.2</v>
      </c>
      <c r="L27">
        <f t="shared" si="5"/>
        <v>5.9391239792130346E-3</v>
      </c>
    </row>
    <row r="28" spans="2:17" x14ac:dyDescent="0.35">
      <c r="B28">
        <f t="shared" si="0"/>
        <v>1.0883789362381751</v>
      </c>
      <c r="C28" s="2">
        <v>566.76</v>
      </c>
      <c r="D28">
        <f t="shared" si="3"/>
        <v>1.4844127706054033E-2</v>
      </c>
      <c r="F28">
        <f t="shared" si="1"/>
        <v>0.51904325341187441</v>
      </c>
      <c r="G28" s="2">
        <v>63.51</v>
      </c>
      <c r="H28">
        <f t="shared" si="4"/>
        <v>1.1627906976744207E-2</v>
      </c>
      <c r="J28">
        <f t="shared" si="2"/>
        <v>1.3050929557992581</v>
      </c>
      <c r="K28" s="2">
        <v>53.88</v>
      </c>
      <c r="L28">
        <f t="shared" si="5"/>
        <v>3.5747514436644146E-2</v>
      </c>
    </row>
    <row r="29" spans="2:17" x14ac:dyDescent="0.35">
      <c r="B29">
        <f t="shared" si="0"/>
        <v>1.073534808532121</v>
      </c>
      <c r="C29" s="2">
        <v>558.47</v>
      </c>
      <c r="D29">
        <f t="shared" si="3"/>
        <v>7.0869549536554111E-3</v>
      </c>
      <c r="F29">
        <f t="shared" si="1"/>
        <v>0.5074153464351302</v>
      </c>
      <c r="G29" s="2">
        <v>62.78</v>
      </c>
      <c r="H29">
        <f t="shared" si="4"/>
        <v>6.0897435897435681E-3</v>
      </c>
      <c r="J29">
        <f t="shared" si="2"/>
        <v>1.269345441362614</v>
      </c>
      <c r="K29" s="2">
        <v>52.020400000000002</v>
      </c>
      <c r="L29">
        <f t="shared" si="5"/>
        <v>6.9315535700114062E-3</v>
      </c>
    </row>
    <row r="30" spans="2:17" x14ac:dyDescent="0.35">
      <c r="B30">
        <f t="shared" si="0"/>
        <v>1.0664478535784656</v>
      </c>
      <c r="C30" s="2">
        <v>554.54</v>
      </c>
      <c r="D30">
        <f t="shared" si="3"/>
        <v>3.9688266705129038E-4</v>
      </c>
      <c r="F30">
        <f t="shared" si="1"/>
        <v>0.50132560284538663</v>
      </c>
      <c r="G30" s="2">
        <v>62.4</v>
      </c>
      <c r="H30">
        <f t="shared" si="4"/>
        <v>2.5472473294987585E-2</v>
      </c>
      <c r="J30">
        <f t="shared" si="2"/>
        <v>1.2624138877926026</v>
      </c>
      <c r="K30" s="2">
        <v>51.662300000000002</v>
      </c>
      <c r="L30">
        <f t="shared" si="5"/>
        <v>-9.156170825685539E-3</v>
      </c>
    </row>
    <row r="31" spans="2:17" x14ac:dyDescent="0.35">
      <c r="B31">
        <f t="shared" si="0"/>
        <v>1.0660509709114143</v>
      </c>
      <c r="C31" s="2">
        <v>554.32000000000005</v>
      </c>
      <c r="D31">
        <f t="shared" si="3"/>
        <v>6.2993555414359026E-3</v>
      </c>
      <c r="F31">
        <f t="shared" si="1"/>
        <v>0.47585312955039905</v>
      </c>
      <c r="G31" s="2">
        <v>60.85</v>
      </c>
      <c r="H31">
        <f t="shared" si="4"/>
        <v>-1.0729962607705978E-2</v>
      </c>
      <c r="J31">
        <f t="shared" si="2"/>
        <v>1.2715700586182881</v>
      </c>
      <c r="K31" s="2">
        <v>52.139699999999998</v>
      </c>
      <c r="L31">
        <f t="shared" si="5"/>
        <v>4.9844741148510341E-3</v>
      </c>
    </row>
    <row r="32" spans="2:17" x14ac:dyDescent="0.35">
      <c r="B32">
        <f t="shared" si="0"/>
        <v>1.0597516153699784</v>
      </c>
      <c r="C32" s="2">
        <v>550.85</v>
      </c>
      <c r="D32">
        <f t="shared" si="3"/>
        <v>3.813744006975206E-4</v>
      </c>
      <c r="F32">
        <f t="shared" si="1"/>
        <v>0.48658309215810502</v>
      </c>
      <c r="G32" s="2">
        <v>61.51</v>
      </c>
      <c r="H32">
        <f t="shared" si="4"/>
        <v>1.7703507610853819E-2</v>
      </c>
      <c r="J32">
        <f t="shared" si="2"/>
        <v>1.2665855845034371</v>
      </c>
      <c r="K32" s="2">
        <v>51.881100000000004</v>
      </c>
      <c r="L32">
        <f t="shared" si="5"/>
        <v>1.4584836697936643E-2</v>
      </c>
    </row>
    <row r="33" spans="2:12" x14ac:dyDescent="0.35">
      <c r="B33">
        <f t="shared" si="0"/>
        <v>1.0593702409692809</v>
      </c>
      <c r="C33" s="2">
        <v>550.64</v>
      </c>
      <c r="D33">
        <f t="shared" si="3"/>
        <v>7.2253013590881654E-3</v>
      </c>
      <c r="F33">
        <f t="shared" si="1"/>
        <v>0.4688795845472512</v>
      </c>
      <c r="G33" s="2">
        <v>60.44</v>
      </c>
      <c r="H33">
        <f t="shared" si="4"/>
        <v>-2.1373056994818618E-2</v>
      </c>
      <c r="J33">
        <f t="shared" si="2"/>
        <v>1.2520007478055004</v>
      </c>
      <c r="K33" s="2">
        <v>51.135300000000001</v>
      </c>
      <c r="L33">
        <f t="shared" si="5"/>
        <v>-9.6295937636178275E-3</v>
      </c>
    </row>
    <row r="34" spans="2:12" x14ac:dyDescent="0.35">
      <c r="B34">
        <f t="shared" si="0"/>
        <v>1.0521449396101927</v>
      </c>
      <c r="C34" s="2">
        <v>546.69000000000005</v>
      </c>
      <c r="D34">
        <f t="shared" si="3"/>
        <v>2.1048896193642586E-2</v>
      </c>
      <c r="F34">
        <f t="shared" si="1"/>
        <v>0.49025264154206982</v>
      </c>
      <c r="G34" s="2">
        <v>61.76</v>
      </c>
      <c r="H34">
        <f t="shared" si="4"/>
        <v>3.8157673558581129E-2</v>
      </c>
      <c r="J34">
        <f t="shared" si="2"/>
        <v>1.2616303415691184</v>
      </c>
      <c r="K34" s="2">
        <v>51.6325</v>
      </c>
      <c r="L34">
        <f t="shared" si="5"/>
        <v>4.0273121433867409E-2</v>
      </c>
    </row>
    <row r="35" spans="2:12" x14ac:dyDescent="0.35">
      <c r="B35">
        <f t="shared" si="0"/>
        <v>1.0310960434165501</v>
      </c>
      <c r="C35" s="2">
        <v>535.41999999999996</v>
      </c>
      <c r="D35">
        <f t="shared" si="3"/>
        <v>1.5495495495495337E-2</v>
      </c>
      <c r="F35">
        <f t="shared" si="1"/>
        <v>0.45209496798348869</v>
      </c>
      <c r="G35" s="2">
        <v>59.49</v>
      </c>
      <c r="H35">
        <f t="shared" si="4"/>
        <v>3.0349013657056112E-3</v>
      </c>
      <c r="J35">
        <f t="shared" si="2"/>
        <v>1.2213572201352509</v>
      </c>
      <c r="K35" s="2">
        <v>49.633600000000001</v>
      </c>
      <c r="L35">
        <f t="shared" si="5"/>
        <v>2.7800153651501125E-2</v>
      </c>
    </row>
    <row r="36" spans="2:12" x14ac:dyDescent="0.35">
      <c r="B36">
        <f t="shared" si="0"/>
        <v>1.0156005479210548</v>
      </c>
      <c r="C36" s="2">
        <v>527.25</v>
      </c>
      <c r="D36">
        <f t="shared" si="3"/>
        <v>2.6017747334007968E-2</v>
      </c>
      <c r="F36">
        <f t="shared" si="1"/>
        <v>0.44906006661778308</v>
      </c>
      <c r="G36" s="2">
        <v>59.31</v>
      </c>
      <c r="H36">
        <f t="shared" si="4"/>
        <v>7.387289516567086E-2</v>
      </c>
      <c r="J36">
        <f t="shared" si="2"/>
        <v>1.1935570664837498</v>
      </c>
      <c r="K36" s="2">
        <v>48.2911</v>
      </c>
      <c r="L36">
        <f t="shared" si="5"/>
        <v>2.8159298253084497E-2</v>
      </c>
    </row>
    <row r="37" spans="2:12" x14ac:dyDescent="0.35">
      <c r="B37">
        <f t="shared" si="0"/>
        <v>0.98958280058704673</v>
      </c>
      <c r="C37" s="2">
        <v>513.88</v>
      </c>
      <c r="D37">
        <f t="shared" si="3"/>
        <v>-2.3802739309663479E-2</v>
      </c>
      <c r="F37">
        <f t="shared" si="1"/>
        <v>0.37518717145211222</v>
      </c>
      <c r="G37" s="2">
        <v>55.23</v>
      </c>
      <c r="H37">
        <f t="shared" si="4"/>
        <v>2.6770775237032973E-2</v>
      </c>
      <c r="J37">
        <f t="shared" si="2"/>
        <v>1.1653977682306653</v>
      </c>
      <c r="K37" s="2">
        <v>46.968499999999999</v>
      </c>
      <c r="L37">
        <f t="shared" si="5"/>
        <v>-1.3368371743245011E-2</v>
      </c>
    </row>
    <row r="38" spans="2:12" x14ac:dyDescent="0.35">
      <c r="B38">
        <f t="shared" si="0"/>
        <v>1.0133855398967102</v>
      </c>
      <c r="C38" s="2">
        <v>526.41</v>
      </c>
      <c r="D38">
        <f t="shared" si="3"/>
        <v>1.4267777650953661E-3</v>
      </c>
      <c r="F38">
        <f t="shared" si="1"/>
        <v>0.34841639621507925</v>
      </c>
      <c r="G38" s="2">
        <v>53.79</v>
      </c>
      <c r="H38">
        <f t="shared" si="4"/>
        <v>-2.7808676307007341E-3</v>
      </c>
      <c r="J38">
        <f t="shared" si="2"/>
        <v>1.1787661399739102</v>
      </c>
      <c r="K38" s="2">
        <v>47.604900000000001</v>
      </c>
      <c r="L38">
        <f t="shared" si="5"/>
        <v>2.3737072886447885E-2</v>
      </c>
    </row>
    <row r="39" spans="2:12" x14ac:dyDescent="0.35">
      <c r="B39">
        <f t="shared" si="0"/>
        <v>1.0119587621316148</v>
      </c>
      <c r="C39" s="2">
        <v>525.66</v>
      </c>
      <c r="D39">
        <f t="shared" si="3"/>
        <v>-2.2228009151615602E-2</v>
      </c>
      <c r="F39">
        <f t="shared" si="1"/>
        <v>0.35119726384577998</v>
      </c>
      <c r="G39" s="2">
        <v>53.94</v>
      </c>
      <c r="H39">
        <f t="shared" si="4"/>
        <v>-8.8202866593164453E-3</v>
      </c>
      <c r="J39">
        <f t="shared" si="2"/>
        <v>1.1550290670874623</v>
      </c>
      <c r="K39" s="2">
        <v>46.501100000000001</v>
      </c>
      <c r="L39">
        <f t="shared" si="5"/>
        <v>-1.5785162624426086E-2</v>
      </c>
    </row>
    <row r="40" spans="2:12" x14ac:dyDescent="0.35">
      <c r="B40">
        <f t="shared" si="0"/>
        <v>1.0341867712832304</v>
      </c>
      <c r="C40" s="2">
        <v>537.61</v>
      </c>
      <c r="D40">
        <f t="shared" si="3"/>
        <v>-2.8008606618192822E-3</v>
      </c>
      <c r="F40">
        <f t="shared" si="1"/>
        <v>0.36001755050509643</v>
      </c>
      <c r="G40" s="2">
        <v>54.42</v>
      </c>
      <c r="H40">
        <f t="shared" si="4"/>
        <v>-3.8440417353102774E-3</v>
      </c>
      <c r="J40">
        <f t="shared" si="2"/>
        <v>1.1708142297118884</v>
      </c>
      <c r="K40" s="2">
        <v>47.246899999999997</v>
      </c>
      <c r="L40">
        <f t="shared" si="5"/>
        <v>1.1710920770877875E-2</v>
      </c>
    </row>
    <row r="41" spans="2:12" x14ac:dyDescent="0.35">
      <c r="B41">
        <f t="shared" si="0"/>
        <v>1.0369876319450497</v>
      </c>
      <c r="C41" s="2">
        <v>539.12</v>
      </c>
      <c r="D41">
        <f t="shared" si="3"/>
        <v>9.7014645840356462E-3</v>
      </c>
      <c r="F41">
        <f t="shared" si="1"/>
        <v>0.36386159224040671</v>
      </c>
      <c r="G41" s="2">
        <v>54.63</v>
      </c>
      <c r="H41">
        <f t="shared" si="4"/>
        <v>7.0546737213403876E-2</v>
      </c>
      <c r="J41">
        <f t="shared" si="2"/>
        <v>1.1591033089410105</v>
      </c>
      <c r="K41" s="2">
        <v>46.7</v>
      </c>
      <c r="L41">
        <f t="shared" si="5"/>
        <v>1.7992527455280349E-2</v>
      </c>
    </row>
    <row r="42" spans="2:12" x14ac:dyDescent="0.35">
      <c r="B42">
        <f t="shared" si="0"/>
        <v>1.0272861673610141</v>
      </c>
      <c r="C42" s="2">
        <v>533.94000000000005</v>
      </c>
      <c r="D42">
        <f t="shared" si="3"/>
        <v>1.7842845705135613E-2</v>
      </c>
      <c r="F42">
        <f t="shared" si="1"/>
        <v>0.29331485502700283</v>
      </c>
      <c r="G42" s="2">
        <v>51.03</v>
      </c>
      <c r="H42">
        <f t="shared" si="4"/>
        <v>1.4311270125223485E-2</v>
      </c>
      <c r="J42">
        <f t="shared" si="2"/>
        <v>1.1411107814857302</v>
      </c>
      <c r="K42" s="2">
        <v>45.874600000000001</v>
      </c>
      <c r="L42">
        <f t="shared" si="5"/>
        <v>-1.072203364976132E-2</v>
      </c>
    </row>
    <row r="43" spans="2:12" x14ac:dyDescent="0.35">
      <c r="B43">
        <f t="shared" si="0"/>
        <v>1.0094433216558785</v>
      </c>
      <c r="C43" s="2">
        <v>524.58000000000004</v>
      </c>
      <c r="D43">
        <f t="shared" si="3"/>
        <v>-4.3819036856111659E-2</v>
      </c>
      <c r="F43">
        <f t="shared" si="1"/>
        <v>0.27900358490177934</v>
      </c>
      <c r="G43" s="2">
        <v>50.31</v>
      </c>
      <c r="H43">
        <f t="shared" si="4"/>
        <v>-9.5956873315363844E-2</v>
      </c>
      <c r="J43">
        <f t="shared" si="2"/>
        <v>1.1518328151354915</v>
      </c>
      <c r="K43" s="2">
        <v>46.3718</v>
      </c>
      <c r="L43">
        <f t="shared" si="5"/>
        <v>-7.6268164659714532E-2</v>
      </c>
    </row>
    <row r="44" spans="2:12" x14ac:dyDescent="0.35">
      <c r="B44">
        <f t="shared" si="0"/>
        <v>1.05326235851199</v>
      </c>
      <c r="C44" s="2">
        <v>548.62</v>
      </c>
      <c r="D44">
        <f t="shared" si="3"/>
        <v>0.10501933612632941</v>
      </c>
      <c r="F44">
        <f t="shared" si="1"/>
        <v>0.37496045821714319</v>
      </c>
      <c r="G44" s="2">
        <v>55.65</v>
      </c>
      <c r="H44">
        <f t="shared" si="4"/>
        <v>0.12880324543610544</v>
      </c>
      <c r="J44">
        <f t="shared" si="2"/>
        <v>1.228100979795206</v>
      </c>
      <c r="K44" s="2">
        <v>50.200499999999998</v>
      </c>
      <c r="L44">
        <f t="shared" si="5"/>
        <v>0.15172309365342662</v>
      </c>
    </row>
    <row r="45" spans="2:12" x14ac:dyDescent="0.35">
      <c r="B45">
        <f t="shared" si="0"/>
        <v>0.94824302238566061</v>
      </c>
      <c r="C45" s="2">
        <v>496.48</v>
      </c>
      <c r="D45">
        <f t="shared" si="3"/>
        <v>-1.5662793925215079E-2</v>
      </c>
      <c r="F45">
        <f t="shared" si="1"/>
        <v>0.24615721278103775</v>
      </c>
      <c r="G45" s="2">
        <v>49.3</v>
      </c>
      <c r="H45">
        <f t="shared" si="4"/>
        <v>-5.9160305343511466E-2</v>
      </c>
      <c r="J45">
        <f t="shared" si="2"/>
        <v>1.0763778861417794</v>
      </c>
      <c r="K45" s="2">
        <v>43.587299999999999</v>
      </c>
      <c r="L45">
        <f t="shared" si="5"/>
        <v>-2.1870701204392162E-2</v>
      </c>
    </row>
    <row r="46" spans="2:12" x14ac:dyDescent="0.35">
      <c r="B46">
        <f t="shared" si="0"/>
        <v>0.96390581631087568</v>
      </c>
      <c r="C46" s="2">
        <v>504.38</v>
      </c>
      <c r="D46">
        <f t="shared" si="3"/>
        <v>-1.7811906269790123E-3</v>
      </c>
      <c r="F46">
        <f t="shared" si="1"/>
        <v>0.30531751812454921</v>
      </c>
      <c r="G46" s="2">
        <v>52.4</v>
      </c>
      <c r="H46">
        <f t="shared" si="4"/>
        <v>-3.7295609039132871E-2</v>
      </c>
      <c r="J46">
        <f t="shared" si="2"/>
        <v>1.0982485873461716</v>
      </c>
      <c r="K46" s="2">
        <v>44.561900000000001</v>
      </c>
      <c r="L46">
        <f t="shared" si="5"/>
        <v>2.2826700698228564E-2</v>
      </c>
    </row>
    <row r="47" spans="2:12" x14ac:dyDescent="0.35">
      <c r="B47">
        <f t="shared" si="0"/>
        <v>0.9656870069378547</v>
      </c>
      <c r="C47" s="2">
        <v>505.28</v>
      </c>
      <c r="D47">
        <f t="shared" si="3"/>
        <v>-5.8542947643003718E-2</v>
      </c>
      <c r="F47">
        <f t="shared" si="1"/>
        <v>0.34261312716368209</v>
      </c>
      <c r="G47" s="2">
        <v>54.43</v>
      </c>
      <c r="H47">
        <f t="shared" si="4"/>
        <v>-7.1318887561849564E-2</v>
      </c>
      <c r="J47">
        <f t="shared" si="2"/>
        <v>1.075421886647943</v>
      </c>
      <c r="K47" s="2">
        <v>43.567399999999999</v>
      </c>
      <c r="L47">
        <f t="shared" si="5"/>
        <v>-5.9064148139829187E-2</v>
      </c>
    </row>
    <row r="48" spans="2:12" x14ac:dyDescent="0.35">
      <c r="B48">
        <f t="shared" si="0"/>
        <v>1.0242299545808584</v>
      </c>
      <c r="C48" s="2">
        <v>536.70000000000005</v>
      </c>
      <c r="D48">
        <f t="shared" si="3"/>
        <v>-4.9280804931623234E-2</v>
      </c>
      <c r="F48">
        <f t="shared" si="1"/>
        <v>0.41393201472553165</v>
      </c>
      <c r="G48" s="2">
        <v>58.61</v>
      </c>
      <c r="H48">
        <f t="shared" si="4"/>
        <v>-6.1789659036337485E-2</v>
      </c>
      <c r="J48">
        <f t="shared" si="2"/>
        <v>1.1344860347877721</v>
      </c>
      <c r="K48" s="2">
        <v>46.302199999999999</v>
      </c>
      <c r="L48">
        <f t="shared" si="5"/>
        <v>-0.15422356663232573</v>
      </c>
    </row>
    <row r="49" spans="2:12" x14ac:dyDescent="0.35">
      <c r="B49">
        <f t="shared" si="0"/>
        <v>1.0735107595124815</v>
      </c>
      <c r="C49" s="2">
        <v>564.52</v>
      </c>
      <c r="D49">
        <f t="shared" si="3"/>
        <v>6.328324152806708E-3</v>
      </c>
      <c r="F49">
        <f t="shared" si="1"/>
        <v>0.47572167376186913</v>
      </c>
      <c r="G49" s="2">
        <v>62.47</v>
      </c>
      <c r="H49">
        <f t="shared" si="4"/>
        <v>9.0453884671297669E-3</v>
      </c>
      <c r="J49">
        <f t="shared" si="2"/>
        <v>1.2887096014200978</v>
      </c>
      <c r="K49" s="2">
        <v>54.745199999999997</v>
      </c>
      <c r="L49">
        <f t="shared" si="5"/>
        <v>3.3608923611963215E-2</v>
      </c>
    </row>
    <row r="50" spans="2:12" x14ac:dyDescent="0.35">
      <c r="B50">
        <f t="shared" si="0"/>
        <v>1.0671824353596748</v>
      </c>
      <c r="C50" s="2">
        <v>560.97</v>
      </c>
      <c r="D50">
        <f t="shared" si="3"/>
        <v>2.8245052646633795E-3</v>
      </c>
      <c r="F50">
        <f t="shared" si="1"/>
        <v>0.46667628529473937</v>
      </c>
      <c r="G50" s="2">
        <v>61.91</v>
      </c>
      <c r="H50">
        <f t="shared" si="4"/>
        <v>-2.9927922281416497E-2</v>
      </c>
      <c r="J50">
        <f t="shared" si="2"/>
        <v>1.2551006778081346</v>
      </c>
      <c r="K50" s="2">
        <v>52.9651</v>
      </c>
      <c r="L50">
        <f t="shared" si="5"/>
        <v>6.0440405797872465E-3</v>
      </c>
    </row>
    <row r="51" spans="2:12" x14ac:dyDescent="0.35">
      <c r="B51">
        <f t="shared" si="0"/>
        <v>1.0643579300950115</v>
      </c>
      <c r="C51" s="2">
        <v>559.39</v>
      </c>
      <c r="D51">
        <f t="shared" si="3"/>
        <v>6.712738005254959E-3</v>
      </c>
      <c r="F51">
        <f t="shared" si="1"/>
        <v>0.49660420757615586</v>
      </c>
      <c r="G51" s="2">
        <v>63.82</v>
      </c>
      <c r="H51">
        <f t="shared" si="4"/>
        <v>-9.3594659849453143E-2</v>
      </c>
      <c r="J51">
        <f t="shared" si="2"/>
        <v>1.2490566372283474</v>
      </c>
      <c r="K51" s="2">
        <v>52.646900000000002</v>
      </c>
      <c r="L51">
        <f t="shared" si="5"/>
        <v>9.7277122806613825E-3</v>
      </c>
    </row>
    <row r="52" spans="2:12" x14ac:dyDescent="0.35">
      <c r="B52">
        <f t="shared" si="0"/>
        <v>1.0576451920897565</v>
      </c>
      <c r="C52" s="2">
        <v>555.66</v>
      </c>
      <c r="D52">
        <f t="shared" si="3"/>
        <v>-2.0138252098469533E-2</v>
      </c>
      <c r="F52">
        <f t="shared" si="1"/>
        <v>0.59019886742560901</v>
      </c>
      <c r="G52" s="2">
        <v>70.41</v>
      </c>
      <c r="H52">
        <f t="shared" si="4"/>
        <v>-1.9495891937056253E-2</v>
      </c>
      <c r="J52">
        <f t="shared" si="2"/>
        <v>1.239328924947686</v>
      </c>
      <c r="K52" s="2">
        <v>52.139699999999998</v>
      </c>
      <c r="L52">
        <f t="shared" si="5"/>
        <v>-3.1942012732987912E-2</v>
      </c>
    </row>
    <row r="53" spans="2:12" x14ac:dyDescent="0.35">
      <c r="B53">
        <f t="shared" si="0"/>
        <v>1.0777834441882259</v>
      </c>
      <c r="C53" s="2">
        <v>567.08000000000004</v>
      </c>
      <c r="D53">
        <f t="shared" si="3"/>
        <v>-2.6556921507588926E-3</v>
      </c>
      <c r="F53">
        <f t="shared" si="1"/>
        <v>0.60969475936266526</v>
      </c>
      <c r="G53" s="2">
        <v>71.81</v>
      </c>
      <c r="H53">
        <f t="shared" si="4"/>
        <v>-1.4681668496157929E-2</v>
      </c>
      <c r="J53">
        <f t="shared" si="2"/>
        <v>1.2712709376806739</v>
      </c>
      <c r="K53" s="2">
        <v>53.860100000000003</v>
      </c>
      <c r="L53">
        <f t="shared" si="5"/>
        <v>-1.8841630475968318E-2</v>
      </c>
    </row>
    <row r="54" spans="2:12" x14ac:dyDescent="0.35">
      <c r="B54">
        <f t="shared" si="0"/>
        <v>1.0804391363389847</v>
      </c>
      <c r="C54" s="2">
        <v>568.59</v>
      </c>
      <c r="D54">
        <f t="shared" si="3"/>
        <v>-1.1938275466583215E-2</v>
      </c>
      <c r="F54">
        <f t="shared" si="1"/>
        <v>0.62437642785882319</v>
      </c>
      <c r="G54" s="2">
        <v>72.88</v>
      </c>
      <c r="H54">
        <f t="shared" si="4"/>
        <v>-9.9171308246163159E-3</v>
      </c>
      <c r="J54">
        <f t="shared" si="2"/>
        <v>1.2901125681566423</v>
      </c>
      <c r="K54" s="2">
        <v>54.894399999999997</v>
      </c>
      <c r="L54">
        <f t="shared" si="5"/>
        <v>-1.1638291130124157E-2</v>
      </c>
    </row>
    <row r="55" spans="2:12" x14ac:dyDescent="0.35">
      <c r="B55">
        <f t="shared" si="0"/>
        <v>1.0923774118055678</v>
      </c>
      <c r="C55" s="2">
        <v>575.46</v>
      </c>
      <c r="D55">
        <f t="shared" si="3"/>
        <v>2.4038461538462563E-3</v>
      </c>
      <c r="F55">
        <f t="shared" si="1"/>
        <v>0.63429355868343951</v>
      </c>
      <c r="G55" s="2">
        <v>73.61</v>
      </c>
      <c r="H55">
        <f t="shared" si="4"/>
        <v>-3.563474387527843E-2</v>
      </c>
      <c r="J55">
        <f t="shared" si="2"/>
        <v>1.3017508592867664</v>
      </c>
      <c r="K55" s="2">
        <v>55.540799999999997</v>
      </c>
      <c r="L55">
        <f t="shared" si="5"/>
        <v>5.3863295316780579E-4</v>
      </c>
    </row>
    <row r="56" spans="2:12" x14ac:dyDescent="0.35">
      <c r="B56">
        <f t="shared" si="0"/>
        <v>1.0899735656517215</v>
      </c>
      <c r="C56" s="2">
        <v>574.08000000000004</v>
      </c>
      <c r="D56">
        <f t="shared" si="3"/>
        <v>1.7908436469378453E-2</v>
      </c>
      <c r="F56">
        <f t="shared" si="1"/>
        <v>0.66992830255871794</v>
      </c>
      <c r="G56" s="2">
        <v>76.33</v>
      </c>
      <c r="H56">
        <f t="shared" si="4"/>
        <v>3.0094466936572362E-2</v>
      </c>
      <c r="J56">
        <f t="shared" si="2"/>
        <v>1.3012122263335986</v>
      </c>
      <c r="K56" s="2">
        <v>55.510899999999999</v>
      </c>
      <c r="L56">
        <f t="shared" si="5"/>
        <v>3.3320365072066815E-2</v>
      </c>
    </row>
    <row r="57" spans="2:12" x14ac:dyDescent="0.35">
      <c r="B57">
        <f t="shared" si="0"/>
        <v>1.0720651291823431</v>
      </c>
      <c r="C57" s="2">
        <v>563.98</v>
      </c>
      <c r="D57">
        <f t="shared" si="3"/>
        <v>3.2902059172279507E-4</v>
      </c>
      <c r="F57">
        <f t="shared" si="1"/>
        <v>0.63983383562214557</v>
      </c>
      <c r="G57" s="2">
        <v>74.099999999999994</v>
      </c>
      <c r="H57">
        <f t="shared" si="4"/>
        <v>8.8495575221236855E-3</v>
      </c>
      <c r="J57">
        <f t="shared" si="2"/>
        <v>1.2678918612615317</v>
      </c>
      <c r="K57" s="2">
        <v>53.7209</v>
      </c>
      <c r="L57">
        <f t="shared" si="5"/>
        <v>2.7850525557338024E-3</v>
      </c>
    </row>
    <row r="58" spans="2:12" x14ac:dyDescent="0.35">
      <c r="B58">
        <f t="shared" si="0"/>
        <v>1.0717361085906203</v>
      </c>
      <c r="C58" s="2">
        <v>563.79449999999997</v>
      </c>
      <c r="D58">
        <f t="shared" si="3"/>
        <v>-2.8917835217683319E-3</v>
      </c>
      <c r="F58">
        <f t="shared" si="1"/>
        <v>0.63098427810002189</v>
      </c>
      <c r="G58" s="2">
        <v>73.45</v>
      </c>
      <c r="H58">
        <f t="shared" si="4"/>
        <v>-8.1530573965236885E-2</v>
      </c>
      <c r="J58">
        <f t="shared" si="2"/>
        <v>1.2651068087057979</v>
      </c>
      <c r="K58" s="2">
        <v>53.5717</v>
      </c>
      <c r="L58">
        <f t="shared" si="5"/>
        <v>-1.1922217857136319E-2</v>
      </c>
    </row>
    <row r="59" spans="2:12" x14ac:dyDescent="0.35">
      <c r="B59">
        <f t="shared" si="0"/>
        <v>1.0746278921123886</v>
      </c>
      <c r="C59" s="2">
        <v>565.42960000000005</v>
      </c>
      <c r="D59">
        <f t="shared" si="3"/>
        <v>1.0890912273243236E-2</v>
      </c>
      <c r="F59">
        <f t="shared" si="1"/>
        <v>0.71251485206525877</v>
      </c>
      <c r="G59" s="2">
        <v>79.97</v>
      </c>
      <c r="H59">
        <f t="shared" si="4"/>
        <v>8.7435409301060529E-2</v>
      </c>
      <c r="J59">
        <f t="shared" si="2"/>
        <v>1.2770290265629343</v>
      </c>
      <c r="K59" s="2">
        <v>54.2181</v>
      </c>
      <c r="L59">
        <f t="shared" si="5"/>
        <v>2.7708539074954075E-2</v>
      </c>
    </row>
    <row r="60" spans="2:12" x14ac:dyDescent="0.35">
      <c r="B60">
        <f t="shared" si="0"/>
        <v>1.0637369798391454</v>
      </c>
      <c r="C60" s="2">
        <v>559.33789999999999</v>
      </c>
      <c r="D60">
        <f t="shared" si="3"/>
        <v>-1.0808392261377864E-2</v>
      </c>
      <c r="F60">
        <f t="shared" si="1"/>
        <v>0.62507944276419825</v>
      </c>
      <c r="G60" s="2">
        <v>73.540000000000006</v>
      </c>
      <c r="H60">
        <f t="shared" si="4"/>
        <v>-0.27439565860878135</v>
      </c>
      <c r="J60">
        <f t="shared" si="2"/>
        <v>1.2493204874879802</v>
      </c>
      <c r="K60" s="2">
        <v>52.756300000000003</v>
      </c>
      <c r="L60">
        <f t="shared" si="5"/>
        <v>-7.2971411690102572E-3</v>
      </c>
    </row>
    <row r="61" spans="2:12" x14ac:dyDescent="0.35">
      <c r="B61">
        <f t="shared" si="0"/>
        <v>1.0745453721005234</v>
      </c>
      <c r="C61" s="2">
        <v>565.44949999999994</v>
      </c>
      <c r="D61">
        <f t="shared" si="3"/>
        <v>7.7113286314485219E-3</v>
      </c>
      <c r="F61">
        <f t="shared" si="1"/>
        <v>0.89947510137297959</v>
      </c>
      <c r="G61" s="2">
        <v>101.35</v>
      </c>
      <c r="H61">
        <f t="shared" si="4"/>
        <v>4.2802757485338017E-2</v>
      </c>
      <c r="J61">
        <f t="shared" si="2"/>
        <v>1.2566176286569906</v>
      </c>
      <c r="K61" s="2">
        <v>53.144100000000002</v>
      </c>
      <c r="L61">
        <f t="shared" si="5"/>
        <v>1.8738912652913609E-3</v>
      </c>
    </row>
    <row r="62" spans="2:12" x14ac:dyDescent="0.35">
      <c r="B62">
        <f t="shared" si="0"/>
        <v>1.0668340434690748</v>
      </c>
      <c r="C62" s="2">
        <v>561.12249999999995</v>
      </c>
      <c r="D62">
        <f t="shared" si="3"/>
        <v>2.0655670850926233E-2</v>
      </c>
      <c r="F62">
        <f t="shared" si="1"/>
        <v>0.85667234388764157</v>
      </c>
      <c r="G62" s="2">
        <v>97.19</v>
      </c>
      <c r="H62">
        <f t="shared" si="4"/>
        <v>-1.1995527091593017E-2</v>
      </c>
      <c r="J62">
        <f t="shared" si="2"/>
        <v>1.2547437373916992</v>
      </c>
      <c r="K62" s="2">
        <v>53.044699999999999</v>
      </c>
      <c r="L62">
        <f t="shared" si="5"/>
        <v>2.7747100514215584E-2</v>
      </c>
    </row>
    <row r="63" spans="2:12" x14ac:dyDescent="0.35">
      <c r="B63">
        <f t="shared" si="0"/>
        <v>1.0461783726181486</v>
      </c>
      <c r="C63" s="2">
        <v>549.76670000000001</v>
      </c>
      <c r="D63">
        <f t="shared" si="3"/>
        <v>-1.3330358907117312E-2</v>
      </c>
      <c r="F63">
        <f t="shared" si="1"/>
        <v>0.86866787097923459</v>
      </c>
      <c r="G63" s="2">
        <v>98.37</v>
      </c>
      <c r="H63">
        <f t="shared" si="4"/>
        <v>-1.4032274230730613E-2</v>
      </c>
      <c r="J63">
        <f t="shared" si="2"/>
        <v>1.2269966368774836</v>
      </c>
      <c r="K63" s="2">
        <v>51.6126</v>
      </c>
      <c r="L63">
        <f t="shared" si="5"/>
        <v>-3.1898291605080953E-2</v>
      </c>
    </row>
    <row r="64" spans="2:12" x14ac:dyDescent="0.35">
      <c r="B64">
        <f t="shared" si="0"/>
        <v>1.059508731525266</v>
      </c>
      <c r="C64" s="2">
        <v>557.1943</v>
      </c>
      <c r="D64">
        <f t="shared" si="3"/>
        <v>5.3064195208976095E-3</v>
      </c>
      <c r="F64">
        <f t="shared" si="1"/>
        <v>0.8827001452099652</v>
      </c>
      <c r="G64" s="2">
        <v>99.77</v>
      </c>
      <c r="H64">
        <f t="shared" si="4"/>
        <v>-9.3337305133551762E-3</v>
      </c>
      <c r="J64">
        <f t="shared" si="2"/>
        <v>1.2588949284825646</v>
      </c>
      <c r="K64" s="2">
        <v>53.313200000000002</v>
      </c>
      <c r="L64">
        <f t="shared" si="5"/>
        <v>3.1161210086244173E-2</v>
      </c>
    </row>
    <row r="65" spans="2:12" x14ac:dyDescent="0.35">
      <c r="B65">
        <f t="shared" si="0"/>
        <v>1.0542023120043684</v>
      </c>
      <c r="C65" s="2">
        <v>554.25319999999999</v>
      </c>
      <c r="D65">
        <f t="shared" si="3"/>
        <v>-8.3127691004030169E-3</v>
      </c>
      <c r="F65">
        <f t="shared" si="1"/>
        <v>0.89203387572332038</v>
      </c>
      <c r="G65" s="2">
        <v>100.71</v>
      </c>
      <c r="H65">
        <f t="shared" si="4"/>
        <v>1.0231718326813022E-2</v>
      </c>
      <c r="J65">
        <f t="shared" si="2"/>
        <v>1.2277337183963204</v>
      </c>
      <c r="K65" s="2">
        <v>51.702100000000002</v>
      </c>
      <c r="L65">
        <f t="shared" si="5"/>
        <v>-5.9276606217216754E-3</v>
      </c>
    </row>
    <row r="66" spans="2:12" x14ac:dyDescent="0.35">
      <c r="B66">
        <f t="shared" si="0"/>
        <v>1.0625150811047714</v>
      </c>
      <c r="C66" s="2">
        <v>558.89919999999995</v>
      </c>
      <c r="D66">
        <f t="shared" si="3"/>
        <v>-2.6635634138474806E-2</v>
      </c>
      <c r="F66">
        <f t="shared" si="1"/>
        <v>0.88180215739650736</v>
      </c>
      <c r="G66" s="2">
        <v>99.69</v>
      </c>
      <c r="H66">
        <f t="shared" si="4"/>
        <v>-3.2417742405124739E-2</v>
      </c>
      <c r="J66">
        <f t="shared" si="2"/>
        <v>1.2336613790180422</v>
      </c>
      <c r="K66" s="2">
        <v>52.010399999999997</v>
      </c>
      <c r="L66">
        <f t="shared" si="5"/>
        <v>-4.4574544105193459E-2</v>
      </c>
    </row>
    <row r="67" spans="2:12" x14ac:dyDescent="0.35">
      <c r="B67">
        <f t="shared" si="0"/>
        <v>1.0891507152432462</v>
      </c>
      <c r="C67" s="2">
        <v>574.19320000000005</v>
      </c>
      <c r="D67">
        <f t="shared" si="3"/>
        <v>5.6049743534420937E-3</v>
      </c>
      <c r="F67">
        <f t="shared" si="1"/>
        <v>0.9142198998016321</v>
      </c>
      <c r="G67" s="2">
        <v>103.03</v>
      </c>
      <c r="H67">
        <f t="shared" si="4"/>
        <v>-2.3967411898446422E-2</v>
      </c>
      <c r="J67">
        <f t="shared" si="2"/>
        <v>1.2782359231232356</v>
      </c>
      <c r="K67" s="2">
        <v>54.436900000000001</v>
      </c>
      <c r="L67">
        <f t="shared" si="5"/>
        <v>1.0895038458538675E-2</v>
      </c>
    </row>
    <row r="68" spans="2:12" x14ac:dyDescent="0.35">
      <c r="B68">
        <f t="shared" ref="B68:B131" si="6">B69*1+D68</f>
        <v>1.0835457408898042</v>
      </c>
      <c r="C68" s="2">
        <v>570.99279999999999</v>
      </c>
      <c r="D68">
        <f t="shared" si="3"/>
        <v>-1.7751230922888439E-2</v>
      </c>
      <c r="F68">
        <f t="shared" ref="F68:F131" si="7">F69*1+H68</f>
        <v>0.93818731170007852</v>
      </c>
      <c r="G68" s="2">
        <v>105.56</v>
      </c>
      <c r="H68">
        <f t="shared" si="4"/>
        <v>-1.9596916504132977E-2</v>
      </c>
      <c r="J68">
        <f t="shared" ref="J68:J131" si="8">J69*1+L68</f>
        <v>1.267340884664697</v>
      </c>
      <c r="K68" s="2">
        <v>53.850200000000001</v>
      </c>
      <c r="L68">
        <f t="shared" si="5"/>
        <v>-3.0264285765737142E-2</v>
      </c>
    </row>
    <row r="69" spans="2:12" x14ac:dyDescent="0.35">
      <c r="B69">
        <f t="shared" si="6"/>
        <v>1.1012969718126926</v>
      </c>
      <c r="C69" s="2">
        <v>581.31179999999995</v>
      </c>
      <c r="D69">
        <f t="shared" ref="D69:D132" si="9">C69/C70-1</f>
        <v>1.074782345012526E-2</v>
      </c>
      <c r="F69">
        <f t="shared" si="7"/>
        <v>0.9577842282042115</v>
      </c>
      <c r="G69" s="2">
        <v>107.67</v>
      </c>
      <c r="H69">
        <f t="shared" ref="H69:H132" si="10">G69/G70-1</f>
        <v>4.6762589928057485E-2</v>
      </c>
      <c r="J69">
        <f t="shared" si="8"/>
        <v>1.2976051704304341</v>
      </c>
      <c r="K69" s="2">
        <v>55.530799999999999</v>
      </c>
      <c r="L69">
        <f t="shared" ref="L69:L132" si="11">K69/K70-1</f>
        <v>-4.8118883211797359E-3</v>
      </c>
    </row>
    <row r="70" spans="2:12" x14ac:dyDescent="0.35">
      <c r="B70">
        <f t="shared" si="6"/>
        <v>1.0905491483625673</v>
      </c>
      <c r="C70" s="2">
        <v>575.13040000000001</v>
      </c>
      <c r="D70">
        <f t="shared" si="9"/>
        <v>-1.1836884559062066E-2</v>
      </c>
      <c r="F70">
        <f t="shared" si="7"/>
        <v>0.91102163827615401</v>
      </c>
      <c r="G70" s="2">
        <v>102.86</v>
      </c>
      <c r="H70">
        <f t="shared" si="10"/>
        <v>1.6202331555028593E-2</v>
      </c>
      <c r="J70">
        <f t="shared" si="8"/>
        <v>1.3024170587516137</v>
      </c>
      <c r="K70" s="2">
        <v>55.799300000000002</v>
      </c>
      <c r="L70">
        <f t="shared" si="11"/>
        <v>-3.2919285876458204E-2</v>
      </c>
    </row>
    <row r="71" spans="2:12" x14ac:dyDescent="0.35">
      <c r="B71">
        <f t="shared" si="6"/>
        <v>1.1023860329216295</v>
      </c>
      <c r="C71" s="2">
        <v>582.01969999999994</v>
      </c>
      <c r="D71">
        <f t="shared" si="9"/>
        <v>-1.7519797487636879E-2</v>
      </c>
      <c r="F71">
        <f t="shared" si="7"/>
        <v>0.89481930672112542</v>
      </c>
      <c r="G71" s="2">
        <v>101.22</v>
      </c>
      <c r="H71">
        <f t="shared" si="10"/>
        <v>-5.1803278688524634E-2</v>
      </c>
      <c r="J71">
        <f t="shared" si="8"/>
        <v>1.3353363446280719</v>
      </c>
      <c r="K71" s="2">
        <v>57.698700000000002</v>
      </c>
      <c r="L71">
        <f t="shared" si="11"/>
        <v>-4.3837001193159253E-2</v>
      </c>
    </row>
    <row r="72" spans="2:12" x14ac:dyDescent="0.35">
      <c r="B72">
        <f t="shared" si="6"/>
        <v>1.1199058304092664</v>
      </c>
      <c r="C72" s="2">
        <v>592.39840000000004</v>
      </c>
      <c r="D72">
        <f t="shared" si="9"/>
        <v>1.5605461242820695E-2</v>
      </c>
      <c r="F72">
        <f t="shared" si="7"/>
        <v>0.94662258540965005</v>
      </c>
      <c r="G72" s="2">
        <v>106.75</v>
      </c>
      <c r="H72">
        <f t="shared" si="10"/>
        <v>3.5804385794682592E-2</v>
      </c>
      <c r="J72">
        <f t="shared" si="8"/>
        <v>1.3791733458212312</v>
      </c>
      <c r="K72" s="2">
        <v>60.344000000000001</v>
      </c>
      <c r="L72">
        <f t="shared" si="11"/>
        <v>2.3961555626070163E-2</v>
      </c>
    </row>
    <row r="73" spans="2:12" x14ac:dyDescent="0.35">
      <c r="B73">
        <f t="shared" si="6"/>
        <v>1.1043003691664457</v>
      </c>
      <c r="C73" s="2">
        <v>583.29579999999999</v>
      </c>
      <c r="D73">
        <f t="shared" si="9"/>
        <v>-1.5962010765281032E-2</v>
      </c>
      <c r="F73">
        <f t="shared" si="7"/>
        <v>0.91081819961496746</v>
      </c>
      <c r="G73" s="2">
        <v>103.06</v>
      </c>
      <c r="H73">
        <f t="shared" si="10"/>
        <v>-3.5560546509451618E-2</v>
      </c>
      <c r="J73">
        <f t="shared" si="8"/>
        <v>1.355211790195161</v>
      </c>
      <c r="K73" s="2">
        <v>58.931899999999999</v>
      </c>
      <c r="L73">
        <f t="shared" si="11"/>
        <v>-7.8687795984127007E-3</v>
      </c>
    </row>
    <row r="74" spans="2:12" x14ac:dyDescent="0.35">
      <c r="B74">
        <f t="shared" si="6"/>
        <v>1.1202623799317268</v>
      </c>
      <c r="C74" s="2">
        <v>592.75739999999996</v>
      </c>
      <c r="D74">
        <f t="shared" si="9"/>
        <v>5.0484565749187027E-4</v>
      </c>
      <c r="F74">
        <f t="shared" si="7"/>
        <v>0.94637874612441908</v>
      </c>
      <c r="G74" s="2">
        <v>106.86</v>
      </c>
      <c r="H74">
        <f t="shared" si="10"/>
        <v>-8.4151472650773051E-4</v>
      </c>
      <c r="J74">
        <f t="shared" si="8"/>
        <v>1.3630805697935737</v>
      </c>
      <c r="K74" s="2">
        <v>59.399299999999997</v>
      </c>
      <c r="L74">
        <f t="shared" si="11"/>
        <v>3.6971637617120301E-3</v>
      </c>
    </row>
    <row r="75" spans="2:12" x14ac:dyDescent="0.35">
      <c r="B75">
        <f t="shared" si="6"/>
        <v>1.119757534274235</v>
      </c>
      <c r="C75" s="2">
        <v>592.45830000000001</v>
      </c>
      <c r="D75">
        <f t="shared" si="9"/>
        <v>-4.9731332234052017E-3</v>
      </c>
      <c r="F75">
        <f t="shared" si="7"/>
        <v>0.94722026085092681</v>
      </c>
      <c r="G75" s="2">
        <v>106.95</v>
      </c>
      <c r="H75">
        <f t="shared" si="10"/>
        <v>1.3167866616142554E-2</v>
      </c>
      <c r="J75">
        <f t="shared" si="8"/>
        <v>1.3593834060318617</v>
      </c>
      <c r="K75" s="2">
        <v>59.180500000000002</v>
      </c>
      <c r="L75">
        <f t="shared" si="11"/>
        <v>-1.7499908690354005E-2</v>
      </c>
    </row>
    <row r="76" spans="2:12" x14ac:dyDescent="0.35">
      <c r="B76">
        <f t="shared" si="6"/>
        <v>1.1247306674976403</v>
      </c>
      <c r="C76" s="2">
        <v>595.4194</v>
      </c>
      <c r="D76">
        <f t="shared" si="9"/>
        <v>-4.5504305672307011E-3</v>
      </c>
      <c r="F76">
        <f t="shared" si="7"/>
        <v>0.93405239423478426</v>
      </c>
      <c r="G76" s="2">
        <v>105.56</v>
      </c>
      <c r="H76">
        <f t="shared" si="10"/>
        <v>-6.7745577719232619E-3</v>
      </c>
      <c r="J76">
        <f t="shared" si="8"/>
        <v>1.3768833147222157</v>
      </c>
      <c r="K76" s="2">
        <v>60.2346</v>
      </c>
      <c r="L76">
        <f t="shared" si="11"/>
        <v>-1.3679384313083354E-2</v>
      </c>
    </row>
    <row r="77" spans="2:12" x14ac:dyDescent="0.35">
      <c r="B77">
        <f t="shared" si="6"/>
        <v>1.1292810980648711</v>
      </c>
      <c r="C77" s="2">
        <v>598.14120000000003</v>
      </c>
      <c r="D77">
        <f t="shared" si="9"/>
        <v>-1.7104102720253422E-2</v>
      </c>
      <c r="F77">
        <f t="shared" si="7"/>
        <v>0.94082695200670752</v>
      </c>
      <c r="G77" s="2">
        <v>106.28</v>
      </c>
      <c r="H77">
        <f t="shared" si="10"/>
        <v>-1.9647633982104895E-2</v>
      </c>
      <c r="J77">
        <f t="shared" si="8"/>
        <v>1.3905626990352991</v>
      </c>
      <c r="K77" s="2">
        <v>61.07</v>
      </c>
      <c r="L77">
        <f t="shared" si="11"/>
        <v>-3.8214704747505768E-2</v>
      </c>
    </row>
    <row r="78" spans="2:12" x14ac:dyDescent="0.35">
      <c r="B78">
        <f t="shared" si="6"/>
        <v>1.1463852007851245</v>
      </c>
      <c r="C78" s="2">
        <v>608.54989999999998</v>
      </c>
      <c r="D78">
        <f t="shared" si="9"/>
        <v>-4.1602560137407041E-3</v>
      </c>
      <c r="F78">
        <f t="shared" si="7"/>
        <v>0.96047458598881241</v>
      </c>
      <c r="G78" s="2">
        <v>108.41</v>
      </c>
      <c r="H78">
        <f t="shared" si="10"/>
        <v>1.2042569081403887E-2</v>
      </c>
      <c r="J78">
        <f t="shared" si="8"/>
        <v>1.4287774037828049</v>
      </c>
      <c r="K78" s="2">
        <v>63.496499999999997</v>
      </c>
      <c r="L78">
        <f t="shared" si="11"/>
        <v>-2.6527439641374384E-2</v>
      </c>
    </row>
    <row r="79" spans="2:12" x14ac:dyDescent="0.35">
      <c r="B79">
        <f t="shared" si="6"/>
        <v>1.1505454567988651</v>
      </c>
      <c r="C79" s="2">
        <v>611.09220000000005</v>
      </c>
      <c r="D79">
        <f t="shared" si="9"/>
        <v>2.3549326546998817E-3</v>
      </c>
      <c r="F79">
        <f t="shared" si="7"/>
        <v>0.94843201690740853</v>
      </c>
      <c r="G79" s="2">
        <v>107.12</v>
      </c>
      <c r="H79">
        <f t="shared" si="10"/>
        <v>1.6801139060275361E-2</v>
      </c>
      <c r="J79">
        <f t="shared" si="8"/>
        <v>1.4553048434241793</v>
      </c>
      <c r="K79" s="2">
        <v>65.226799999999997</v>
      </c>
      <c r="L79">
        <f t="shared" si="11"/>
        <v>4.5942844821611484E-3</v>
      </c>
    </row>
    <row r="80" spans="2:12" x14ac:dyDescent="0.35">
      <c r="B80">
        <f t="shared" si="6"/>
        <v>1.1481905241441652</v>
      </c>
      <c r="C80" s="2">
        <v>609.65650000000005</v>
      </c>
      <c r="D80">
        <f t="shared" si="9"/>
        <v>2.9358159177945709E-3</v>
      </c>
      <c r="F80">
        <f t="shared" si="7"/>
        <v>0.93163087784713317</v>
      </c>
      <c r="G80" s="2">
        <v>105.35</v>
      </c>
      <c r="H80">
        <f t="shared" si="10"/>
        <v>-2.4085224641037573E-2</v>
      </c>
      <c r="J80">
        <f t="shared" si="8"/>
        <v>1.4507105589420182</v>
      </c>
      <c r="K80" s="2">
        <v>64.9285</v>
      </c>
      <c r="L80">
        <f t="shared" si="11"/>
        <v>1.227468777419416E-3</v>
      </c>
    </row>
    <row r="81" spans="2:12" x14ac:dyDescent="0.35">
      <c r="B81">
        <f t="shared" si="6"/>
        <v>1.1452547082263707</v>
      </c>
      <c r="C81" s="2">
        <v>607.87189999999998</v>
      </c>
      <c r="D81">
        <f t="shared" si="9"/>
        <v>-4.918557569655313E-5</v>
      </c>
      <c r="F81">
        <f t="shared" si="7"/>
        <v>0.95571610248817074</v>
      </c>
      <c r="G81" s="2">
        <v>107.95</v>
      </c>
      <c r="H81">
        <f t="shared" si="10"/>
        <v>-1.3794993604969719E-2</v>
      </c>
      <c r="J81">
        <f t="shared" si="8"/>
        <v>1.4494830901645988</v>
      </c>
      <c r="K81" s="2">
        <v>64.8489</v>
      </c>
      <c r="L81">
        <f t="shared" si="11"/>
        <v>1.7633526454212678E-2</v>
      </c>
    </row>
    <row r="82" spans="2:12" x14ac:dyDescent="0.35">
      <c r="B82">
        <f t="shared" si="6"/>
        <v>1.1453038938020672</v>
      </c>
      <c r="C82" s="2">
        <v>607.90179999999998</v>
      </c>
      <c r="D82">
        <f t="shared" si="9"/>
        <v>1.0557543842092176E-2</v>
      </c>
      <c r="F82">
        <f t="shared" si="7"/>
        <v>0.96951109609314046</v>
      </c>
      <c r="G82" s="2">
        <v>109.46</v>
      </c>
      <c r="H82">
        <f t="shared" si="10"/>
        <v>-3.1873235588745219E-3</v>
      </c>
      <c r="J82">
        <f t="shared" si="8"/>
        <v>1.4318495637103861</v>
      </c>
      <c r="K82" s="2">
        <v>63.725200000000001</v>
      </c>
      <c r="L82">
        <f t="shared" si="11"/>
        <v>1.2506756162249388E-3</v>
      </c>
    </row>
    <row r="83" spans="2:12" x14ac:dyDescent="0.35">
      <c r="B83">
        <f t="shared" si="6"/>
        <v>1.134746349959975</v>
      </c>
      <c r="C83" s="2">
        <v>601.55089999999996</v>
      </c>
      <c r="D83">
        <f t="shared" si="9"/>
        <v>-3.2215671676539825E-3</v>
      </c>
      <c r="F83">
        <f t="shared" si="7"/>
        <v>0.97269841965201498</v>
      </c>
      <c r="G83" s="2">
        <v>109.81</v>
      </c>
      <c r="H83">
        <f t="shared" si="10"/>
        <v>1.1852662290299243E-3</v>
      </c>
      <c r="J83">
        <f t="shared" si="8"/>
        <v>1.4305988880941611</v>
      </c>
      <c r="K83" s="2">
        <v>63.645600000000002</v>
      </c>
      <c r="L83">
        <f t="shared" si="11"/>
        <v>-1.8856522704289169E-2</v>
      </c>
    </row>
    <row r="84" spans="2:12" x14ac:dyDescent="0.35">
      <c r="B84">
        <f t="shared" si="6"/>
        <v>1.1379679171276289</v>
      </c>
      <c r="C84" s="2">
        <v>603.49509999999998</v>
      </c>
      <c r="D84">
        <f t="shared" si="9"/>
        <v>7.6048464728084575E-4</v>
      </c>
      <c r="F84">
        <f t="shared" si="7"/>
        <v>0.97151315342298505</v>
      </c>
      <c r="G84" s="2">
        <v>109.68</v>
      </c>
      <c r="H84">
        <f t="shared" si="10"/>
        <v>-2.7142096860031772E-2</v>
      </c>
      <c r="J84">
        <f t="shared" si="8"/>
        <v>1.4494554107984503</v>
      </c>
      <c r="K84" s="2">
        <v>64.868799999999993</v>
      </c>
      <c r="L84">
        <f t="shared" si="11"/>
        <v>-4.4262184378703884E-3</v>
      </c>
    </row>
    <row r="85" spans="2:12" x14ac:dyDescent="0.35">
      <c r="B85">
        <f t="shared" si="6"/>
        <v>1.1372074324803481</v>
      </c>
      <c r="C85" s="2">
        <v>603.03650000000005</v>
      </c>
      <c r="D85">
        <f t="shared" si="9"/>
        <v>6.7913398479753084E-3</v>
      </c>
      <c r="F85">
        <f t="shared" si="7"/>
        <v>0.99865525028301683</v>
      </c>
      <c r="G85" s="2">
        <v>112.74</v>
      </c>
      <c r="H85">
        <f t="shared" si="10"/>
        <v>8.227508495796787E-3</v>
      </c>
      <c r="J85">
        <f t="shared" si="8"/>
        <v>1.4538816292363208</v>
      </c>
      <c r="K85" s="2">
        <v>65.157200000000003</v>
      </c>
      <c r="L85">
        <f t="shared" si="11"/>
        <v>-2.9189630536844091E-2</v>
      </c>
    </row>
    <row r="86" spans="2:12" x14ac:dyDescent="0.35">
      <c r="B86">
        <f t="shared" si="6"/>
        <v>1.1304160926323727</v>
      </c>
      <c r="C86" s="2">
        <v>598.96870000000001</v>
      </c>
      <c r="D86">
        <f t="shared" si="9"/>
        <v>-9.1536489285976019E-3</v>
      </c>
      <c r="F86">
        <f t="shared" si="7"/>
        <v>0.99042774178722004</v>
      </c>
      <c r="G86" s="2">
        <v>111.82</v>
      </c>
      <c r="H86">
        <f t="shared" si="10"/>
        <v>-2.5867451610026571E-3</v>
      </c>
      <c r="J86">
        <f t="shared" si="8"/>
        <v>1.483071259773165</v>
      </c>
      <c r="K86" s="2">
        <v>67.116299999999995</v>
      </c>
      <c r="L86">
        <f t="shared" si="11"/>
        <v>-1.0555443350734217E-2</v>
      </c>
    </row>
    <row r="87" spans="2:12" x14ac:dyDescent="0.35">
      <c r="B87">
        <f t="shared" si="6"/>
        <v>1.1395697415609702</v>
      </c>
      <c r="C87" s="2">
        <v>604.50210000000004</v>
      </c>
      <c r="D87">
        <f t="shared" si="9"/>
        <v>3.4757157230402846E-3</v>
      </c>
      <c r="F87">
        <f t="shared" si="7"/>
        <v>0.9930144869482227</v>
      </c>
      <c r="G87" s="2">
        <v>112.11</v>
      </c>
      <c r="H87">
        <f t="shared" si="10"/>
        <v>-5.8057469332885248E-2</v>
      </c>
      <c r="J87">
        <f t="shared" si="8"/>
        <v>1.4936267031238992</v>
      </c>
      <c r="K87" s="2">
        <v>67.832300000000004</v>
      </c>
      <c r="L87">
        <f t="shared" si="11"/>
        <v>5.3057238089169179E-3</v>
      </c>
    </row>
    <row r="88" spans="2:12" x14ac:dyDescent="0.35">
      <c r="B88">
        <f t="shared" si="6"/>
        <v>1.13609402583793</v>
      </c>
      <c r="C88" s="2">
        <v>602.40830000000005</v>
      </c>
      <c r="D88">
        <f t="shared" si="9"/>
        <v>4.0544975404839256E-3</v>
      </c>
      <c r="F88">
        <f t="shared" si="7"/>
        <v>1.0510719562811079</v>
      </c>
      <c r="G88" s="2">
        <v>119.02</v>
      </c>
      <c r="H88">
        <f t="shared" si="10"/>
        <v>4.3302945301542772E-2</v>
      </c>
      <c r="J88">
        <f t="shared" si="8"/>
        <v>1.4883209793149823</v>
      </c>
      <c r="K88" s="2">
        <v>67.474299999999999</v>
      </c>
      <c r="L88">
        <f t="shared" si="11"/>
        <v>2.9277705743268934E-2</v>
      </c>
    </row>
    <row r="89" spans="2:12" x14ac:dyDescent="0.35">
      <c r="B89">
        <f t="shared" si="6"/>
        <v>1.132039528297446</v>
      </c>
      <c r="C89" s="2">
        <v>599.97569999999996</v>
      </c>
      <c r="D89">
        <f t="shared" si="9"/>
        <v>6.708304689923672E-3</v>
      </c>
      <c r="F89">
        <f t="shared" si="7"/>
        <v>1.0077690109795652</v>
      </c>
      <c r="G89" s="2">
        <v>114.08</v>
      </c>
      <c r="H89">
        <f t="shared" si="10"/>
        <v>2.3723750109831965E-3</v>
      </c>
      <c r="J89">
        <f t="shared" si="8"/>
        <v>1.4590432735717134</v>
      </c>
      <c r="K89" s="2">
        <v>65.555000000000007</v>
      </c>
      <c r="L89">
        <f t="shared" si="11"/>
        <v>-2.3985349730518246E-2</v>
      </c>
    </row>
    <row r="90" spans="2:12" x14ac:dyDescent="0.35">
      <c r="B90">
        <f t="shared" si="6"/>
        <v>1.1253312236075224</v>
      </c>
      <c r="C90" s="2">
        <v>595.97770000000003</v>
      </c>
      <c r="D90">
        <f t="shared" si="9"/>
        <v>-6.7294928214353122E-3</v>
      </c>
      <c r="F90">
        <f t="shared" si="7"/>
        <v>1.005396635968582</v>
      </c>
      <c r="G90" s="2">
        <v>113.81</v>
      </c>
      <c r="H90">
        <f t="shared" si="10"/>
        <v>7.914175167076376E-4</v>
      </c>
      <c r="J90">
        <f t="shared" si="8"/>
        <v>1.4830286233022316</v>
      </c>
      <c r="K90" s="2">
        <v>67.165999999999997</v>
      </c>
      <c r="L90">
        <f t="shared" si="11"/>
        <v>-1.7313977884224396E-2</v>
      </c>
    </row>
    <row r="91" spans="2:12" x14ac:dyDescent="0.35">
      <c r="B91">
        <f t="shared" si="6"/>
        <v>1.1320607164289578</v>
      </c>
      <c r="C91" s="2">
        <v>600.01549999999997</v>
      </c>
      <c r="D91">
        <f t="shared" si="9"/>
        <v>-5.322052650590825E-3</v>
      </c>
      <c r="F91">
        <f t="shared" si="7"/>
        <v>1.0046052184518743</v>
      </c>
      <c r="G91" s="2">
        <v>113.72</v>
      </c>
      <c r="H91">
        <f t="shared" si="10"/>
        <v>-6.3783311489733485E-3</v>
      </c>
      <c r="J91">
        <f t="shared" si="8"/>
        <v>1.500342601186456</v>
      </c>
      <c r="K91" s="2">
        <v>68.349400000000003</v>
      </c>
      <c r="L91">
        <f t="shared" si="11"/>
        <v>-7.0545507372701266E-3</v>
      </c>
    </row>
    <row r="92" spans="2:12" x14ac:dyDescent="0.35">
      <c r="B92">
        <f t="shared" si="6"/>
        <v>1.1373827690795486</v>
      </c>
      <c r="C92" s="2">
        <v>603.22590000000002</v>
      </c>
      <c r="D92">
        <f t="shared" si="9"/>
        <v>5.3671165735786897E-3</v>
      </c>
      <c r="F92">
        <f t="shared" si="7"/>
        <v>1.0109835496008477</v>
      </c>
      <c r="G92" s="2">
        <v>114.45</v>
      </c>
      <c r="H92">
        <f t="shared" si="10"/>
        <v>-8.6617583369423823E-3</v>
      </c>
      <c r="J92">
        <f t="shared" si="8"/>
        <v>1.5073971519237261</v>
      </c>
      <c r="K92" s="2">
        <v>68.834999999999994</v>
      </c>
      <c r="L92">
        <f t="shared" si="11"/>
        <v>1.0178834012802618E-2</v>
      </c>
    </row>
    <row r="93" spans="2:12" x14ac:dyDescent="0.35">
      <c r="B93">
        <f t="shared" si="6"/>
        <v>1.1320156525059699</v>
      </c>
      <c r="C93" s="2">
        <v>600.00559999999996</v>
      </c>
      <c r="D93">
        <f t="shared" si="9"/>
        <v>-4.4827722374074508E-3</v>
      </c>
      <c r="F93">
        <f t="shared" si="7"/>
        <v>1.0196453079377901</v>
      </c>
      <c r="G93" s="2">
        <v>115.45</v>
      </c>
      <c r="H93">
        <f t="shared" si="10"/>
        <v>-1.753042294272833E-2</v>
      </c>
      <c r="J93">
        <f t="shared" si="8"/>
        <v>1.4972183179109235</v>
      </c>
      <c r="K93" s="2">
        <v>68.141400000000004</v>
      </c>
      <c r="L93">
        <f t="shared" si="11"/>
        <v>3.1654519413903959E-2</v>
      </c>
    </row>
    <row r="94" spans="2:12" x14ac:dyDescent="0.35">
      <c r="B94">
        <f t="shared" si="6"/>
        <v>1.1364984247433774</v>
      </c>
      <c r="C94" s="2">
        <v>602.70740000000001</v>
      </c>
      <c r="D94">
        <f t="shared" si="9"/>
        <v>8.5922571120611302E-3</v>
      </c>
      <c r="F94">
        <f t="shared" si="7"/>
        <v>1.0371757308805185</v>
      </c>
      <c r="G94" s="2">
        <v>117.51</v>
      </c>
      <c r="H94">
        <f t="shared" si="10"/>
        <v>5.3041320899991362E-3</v>
      </c>
      <c r="J94">
        <f t="shared" si="8"/>
        <v>1.4655637984970196</v>
      </c>
      <c r="K94" s="2">
        <v>66.050600000000003</v>
      </c>
      <c r="L94">
        <f t="shared" si="11"/>
        <v>-4.5806643610213027E-2</v>
      </c>
    </row>
    <row r="95" spans="2:12" x14ac:dyDescent="0.35">
      <c r="B95">
        <f t="shared" si="6"/>
        <v>1.1279061676313162</v>
      </c>
      <c r="C95" s="2">
        <v>597.5729</v>
      </c>
      <c r="D95">
        <f t="shared" si="9"/>
        <v>-1.4145411237635241E-2</v>
      </c>
      <c r="F95">
        <f t="shared" si="7"/>
        <v>1.0318715987905194</v>
      </c>
      <c r="G95" s="2">
        <v>116.89</v>
      </c>
      <c r="H95">
        <f t="shared" si="10"/>
        <v>3.6922548514513043E-3</v>
      </c>
      <c r="J95">
        <f t="shared" si="8"/>
        <v>1.5113704421072325</v>
      </c>
      <c r="K95" s="2">
        <v>69.221400000000003</v>
      </c>
      <c r="L95">
        <f t="shared" si="11"/>
        <v>-1.0902429684329529E-2</v>
      </c>
    </row>
    <row r="96" spans="2:12" x14ac:dyDescent="0.35">
      <c r="B96">
        <f t="shared" si="6"/>
        <v>1.1420515788689514</v>
      </c>
      <c r="C96" s="2">
        <v>606.14710000000002</v>
      </c>
      <c r="D96">
        <f t="shared" si="9"/>
        <v>-2.9192899481478296E-3</v>
      </c>
      <c r="F96">
        <f t="shared" si="7"/>
        <v>1.0281793439390681</v>
      </c>
      <c r="G96" s="2">
        <v>116.46</v>
      </c>
      <c r="H96">
        <f t="shared" si="10"/>
        <v>-2.2494544233674696E-2</v>
      </c>
      <c r="J96">
        <f t="shared" si="8"/>
        <v>1.5222728717915619</v>
      </c>
      <c r="K96" s="2">
        <v>69.984399999999994</v>
      </c>
      <c r="L96">
        <f t="shared" si="11"/>
        <v>2.6978584763330815E-3</v>
      </c>
    </row>
    <row r="97" spans="2:12" x14ac:dyDescent="0.35">
      <c r="B97">
        <f t="shared" si="6"/>
        <v>1.1449708688170992</v>
      </c>
      <c r="C97" s="2">
        <v>607.92179999999996</v>
      </c>
      <c r="D97">
        <f t="shared" si="9"/>
        <v>5.4581236498787433E-3</v>
      </c>
      <c r="F97">
        <f t="shared" si="7"/>
        <v>1.0506738881727427</v>
      </c>
      <c r="G97" s="2">
        <v>119.14</v>
      </c>
      <c r="H97">
        <f t="shared" si="10"/>
        <v>2.627271944181242E-2</v>
      </c>
      <c r="J97">
        <f t="shared" si="8"/>
        <v>1.5195750133152288</v>
      </c>
      <c r="K97" s="2">
        <v>69.796099999999996</v>
      </c>
      <c r="L97">
        <f t="shared" si="11"/>
        <v>-7.0870606022443994E-4</v>
      </c>
    </row>
    <row r="98" spans="2:12" x14ac:dyDescent="0.35">
      <c r="B98">
        <f t="shared" si="6"/>
        <v>1.1395127451672205</v>
      </c>
      <c r="C98" s="2">
        <v>604.62170000000003</v>
      </c>
      <c r="D98">
        <f t="shared" si="9"/>
        <v>5.6213647119405241E-3</v>
      </c>
      <c r="F98">
        <f t="shared" si="7"/>
        <v>1.0244011687309302</v>
      </c>
      <c r="G98" s="2">
        <v>116.09</v>
      </c>
      <c r="H98">
        <f t="shared" si="10"/>
        <v>-5.9936638410823528E-3</v>
      </c>
      <c r="J98">
        <f t="shared" si="8"/>
        <v>1.5202837193754533</v>
      </c>
      <c r="K98" s="2">
        <v>69.845600000000005</v>
      </c>
      <c r="L98">
        <f t="shared" si="11"/>
        <v>1.4681484709813564E-2</v>
      </c>
    </row>
    <row r="99" spans="2:12" x14ac:dyDescent="0.35">
      <c r="B99">
        <f t="shared" si="6"/>
        <v>1.1338913804552799</v>
      </c>
      <c r="C99" s="2">
        <v>601.24189999999999</v>
      </c>
      <c r="D99">
        <f t="shared" si="9"/>
        <v>9.1535869368364331E-3</v>
      </c>
      <c r="F99">
        <f t="shared" si="7"/>
        <v>1.0303948325720125</v>
      </c>
      <c r="G99" s="2">
        <v>116.79</v>
      </c>
      <c r="H99">
        <f t="shared" si="10"/>
        <v>-1.025423728813557E-2</v>
      </c>
      <c r="J99">
        <f t="shared" si="8"/>
        <v>1.5056022346656397</v>
      </c>
      <c r="K99" s="2">
        <v>68.834999999999994</v>
      </c>
      <c r="L99">
        <f t="shared" si="11"/>
        <v>1.0473932605711722E-2</v>
      </c>
    </row>
    <row r="100" spans="2:12" x14ac:dyDescent="0.35">
      <c r="B100">
        <f t="shared" si="6"/>
        <v>1.1247377935184435</v>
      </c>
      <c r="C100" s="2">
        <v>595.78830000000005</v>
      </c>
      <c r="D100">
        <f t="shared" si="9"/>
        <v>1.0039905666726856E-2</v>
      </c>
      <c r="F100">
        <f t="shared" si="7"/>
        <v>1.040649069860148</v>
      </c>
      <c r="G100" s="2">
        <v>118</v>
      </c>
      <c r="H100">
        <f t="shared" si="10"/>
        <v>8.0300700495472555E-3</v>
      </c>
      <c r="J100">
        <f t="shared" si="8"/>
        <v>1.495128302059928</v>
      </c>
      <c r="K100" s="2">
        <v>68.121499999999997</v>
      </c>
      <c r="L100">
        <f t="shared" si="11"/>
        <v>1.3862161241016135E-2</v>
      </c>
    </row>
    <row r="101" spans="2:12" x14ac:dyDescent="0.35">
      <c r="B101">
        <f t="shared" si="6"/>
        <v>1.1146978878517166</v>
      </c>
      <c r="C101" s="2">
        <v>589.86609999999996</v>
      </c>
      <c r="D101">
        <f t="shared" si="9"/>
        <v>-1.9230033844184202E-3</v>
      </c>
      <c r="F101">
        <f t="shared" si="7"/>
        <v>1.0326189998106008</v>
      </c>
      <c r="G101" s="2">
        <v>117.06</v>
      </c>
      <c r="H101">
        <f t="shared" si="10"/>
        <v>-1.9022877734014898E-2</v>
      </c>
      <c r="J101">
        <f t="shared" si="8"/>
        <v>1.4812661408189118</v>
      </c>
      <c r="K101" s="2">
        <v>67.190100000000001</v>
      </c>
      <c r="L101">
        <f t="shared" si="11"/>
        <v>-4.4052667609063567E-3</v>
      </c>
    </row>
    <row r="102" spans="2:12" x14ac:dyDescent="0.35">
      <c r="B102">
        <f t="shared" si="6"/>
        <v>1.1166208912361351</v>
      </c>
      <c r="C102" s="2">
        <v>591.00260000000003</v>
      </c>
      <c r="D102">
        <f t="shared" si="9"/>
        <v>1.8189855910402564E-2</v>
      </c>
      <c r="F102">
        <f t="shared" si="7"/>
        <v>1.0516418775446157</v>
      </c>
      <c r="G102" s="2">
        <v>119.33</v>
      </c>
      <c r="H102">
        <f t="shared" si="10"/>
        <v>4.2076916603550618E-3</v>
      </c>
      <c r="J102">
        <f t="shared" si="8"/>
        <v>1.4856714075798181</v>
      </c>
      <c r="K102" s="2">
        <v>67.487399999999994</v>
      </c>
      <c r="L102">
        <f t="shared" si="11"/>
        <v>3.1033012965941964E-2</v>
      </c>
    </row>
    <row r="103" spans="2:12" x14ac:dyDescent="0.35">
      <c r="B103">
        <f t="shared" si="6"/>
        <v>1.0984310353257325</v>
      </c>
      <c r="C103" s="2">
        <v>580.44439999999997</v>
      </c>
      <c r="D103">
        <f t="shared" si="9"/>
        <v>1.3760103566515802E-3</v>
      </c>
      <c r="F103">
        <f t="shared" si="7"/>
        <v>1.0474341858842606</v>
      </c>
      <c r="G103" s="2">
        <v>118.83</v>
      </c>
      <c r="H103">
        <f t="shared" si="10"/>
        <v>3.3775225871821579E-3</v>
      </c>
      <c r="J103">
        <f t="shared" si="8"/>
        <v>1.4546383946138761</v>
      </c>
      <c r="K103" s="2">
        <v>65.456100000000006</v>
      </c>
      <c r="L103">
        <f t="shared" si="11"/>
        <v>1.9285990133546038E-2</v>
      </c>
    </row>
    <row r="104" spans="2:12" x14ac:dyDescent="0.35">
      <c r="B104">
        <f t="shared" si="6"/>
        <v>1.0970550249690809</v>
      </c>
      <c r="C104" s="2">
        <v>579.64679999999998</v>
      </c>
      <c r="D104">
        <f t="shared" si="9"/>
        <v>1.5504117066191814E-3</v>
      </c>
      <c r="F104">
        <f t="shared" si="7"/>
        <v>1.0440566632970785</v>
      </c>
      <c r="G104" s="2">
        <v>118.43</v>
      </c>
      <c r="H104">
        <f t="shared" si="10"/>
        <v>-5.0965622245372266E-2</v>
      </c>
      <c r="J104">
        <f t="shared" si="8"/>
        <v>1.4353524044803301</v>
      </c>
      <c r="K104" s="2">
        <v>64.217600000000004</v>
      </c>
      <c r="L104">
        <f t="shared" si="11"/>
        <v>1.6308708581340259E-2</v>
      </c>
    </row>
    <row r="105" spans="2:12" x14ac:dyDescent="0.35">
      <c r="B105">
        <f t="shared" si="6"/>
        <v>1.0955046132624617</v>
      </c>
      <c r="C105" s="2">
        <v>578.74950000000001</v>
      </c>
      <c r="D105">
        <f t="shared" si="9"/>
        <v>-1.5267409364113083E-2</v>
      </c>
      <c r="F105">
        <f t="shared" si="7"/>
        <v>1.0950222855424507</v>
      </c>
      <c r="G105" s="2">
        <v>124.79</v>
      </c>
      <c r="H105">
        <f t="shared" si="10"/>
        <v>-1.1720915498534823E-2</v>
      </c>
      <c r="J105">
        <f t="shared" si="8"/>
        <v>1.4190436958989898</v>
      </c>
      <c r="K105" s="2">
        <v>63.187100000000001</v>
      </c>
      <c r="L105">
        <f t="shared" si="11"/>
        <v>-3.0703221115348289E-2</v>
      </c>
    </row>
    <row r="106" spans="2:12" x14ac:dyDescent="0.35">
      <c r="B106">
        <f t="shared" si="6"/>
        <v>1.1107720226265747</v>
      </c>
      <c r="C106" s="2">
        <v>587.72249999999997</v>
      </c>
      <c r="D106">
        <f t="shared" si="9"/>
        <v>1.4609831117917693E-3</v>
      </c>
      <c r="F106">
        <f t="shared" si="7"/>
        <v>1.1067432010409854</v>
      </c>
      <c r="G106" s="2">
        <v>126.27</v>
      </c>
      <c r="H106">
        <f t="shared" si="10"/>
        <v>1.4298337215840728E-2</v>
      </c>
      <c r="J106">
        <f t="shared" si="8"/>
        <v>1.449746917014338</v>
      </c>
      <c r="K106" s="2">
        <v>65.188599999999994</v>
      </c>
      <c r="L106">
        <f t="shared" si="11"/>
        <v>-1.1865747884689526E-2</v>
      </c>
    </row>
    <row r="107" spans="2:12" x14ac:dyDescent="0.35">
      <c r="B107">
        <f t="shared" si="6"/>
        <v>1.1093110395147829</v>
      </c>
      <c r="C107" s="2">
        <v>586.86509999999998</v>
      </c>
      <c r="D107">
        <f t="shared" si="9"/>
        <v>-1.130404941314056E-2</v>
      </c>
      <c r="F107">
        <f t="shared" si="7"/>
        <v>1.0924448638251447</v>
      </c>
      <c r="G107" s="2">
        <v>124.49</v>
      </c>
      <c r="H107">
        <f t="shared" si="10"/>
        <v>-2.6585346782391217E-2</v>
      </c>
      <c r="J107">
        <f t="shared" si="8"/>
        <v>1.4616126648990275</v>
      </c>
      <c r="K107" s="2">
        <v>65.971400000000003</v>
      </c>
      <c r="L107">
        <f t="shared" si="11"/>
        <v>-1.6107046236170985E-2</v>
      </c>
    </row>
    <row r="108" spans="2:12" x14ac:dyDescent="0.35">
      <c r="B108">
        <f t="shared" si="6"/>
        <v>1.1206150889279236</v>
      </c>
      <c r="C108" s="2">
        <v>593.57489999999996</v>
      </c>
      <c r="D108">
        <f t="shared" si="9"/>
        <v>5.7606632336739683E-3</v>
      </c>
      <c r="F108">
        <f t="shared" si="7"/>
        <v>1.119030210607536</v>
      </c>
      <c r="G108" s="2">
        <v>127.89</v>
      </c>
      <c r="H108">
        <f t="shared" si="10"/>
        <v>1.2669253305883199E-2</v>
      </c>
      <c r="J108">
        <f t="shared" si="8"/>
        <v>1.4777197111351985</v>
      </c>
      <c r="K108" s="2">
        <v>67.051400000000001</v>
      </c>
      <c r="L108">
        <f t="shared" si="11"/>
        <v>1.3327892760259585E-2</v>
      </c>
    </row>
    <row r="109" spans="2:12" x14ac:dyDescent="0.35">
      <c r="B109">
        <f t="shared" si="6"/>
        <v>1.1148544256942496</v>
      </c>
      <c r="C109" s="2">
        <v>590.17510000000004</v>
      </c>
      <c r="D109">
        <f t="shared" si="9"/>
        <v>1.2503278936864426E-2</v>
      </c>
      <c r="F109">
        <f t="shared" si="7"/>
        <v>1.1063609573016528</v>
      </c>
      <c r="G109" s="2">
        <v>126.29</v>
      </c>
      <c r="H109">
        <f t="shared" si="10"/>
        <v>1.7729067612217042E-2</v>
      </c>
      <c r="J109">
        <f t="shared" si="8"/>
        <v>1.4643918183749389</v>
      </c>
      <c r="K109" s="2">
        <v>66.169499999999999</v>
      </c>
      <c r="L109">
        <f t="shared" si="11"/>
        <v>2.3448073190159846E-2</v>
      </c>
    </row>
    <row r="110" spans="2:12" x14ac:dyDescent="0.35">
      <c r="B110">
        <f t="shared" si="6"/>
        <v>1.1023511467573852</v>
      </c>
      <c r="C110" s="2">
        <v>582.88710000000003</v>
      </c>
      <c r="D110">
        <f t="shared" si="9"/>
        <v>-2.4568615937734517E-3</v>
      </c>
      <c r="F110">
        <f t="shared" si="7"/>
        <v>1.0886318896894358</v>
      </c>
      <c r="G110" s="2">
        <v>124.09</v>
      </c>
      <c r="H110">
        <f t="shared" si="10"/>
        <v>2.0560901389916841E-2</v>
      </c>
      <c r="J110">
        <f t="shared" si="8"/>
        <v>1.4409437451847791</v>
      </c>
      <c r="K110" s="2">
        <v>64.653499999999994</v>
      </c>
      <c r="L110">
        <f t="shared" si="11"/>
        <v>3.8459269196251533E-3</v>
      </c>
    </row>
    <row r="111" spans="2:12" x14ac:dyDescent="0.35">
      <c r="B111">
        <f t="shared" si="6"/>
        <v>1.1048080083511587</v>
      </c>
      <c r="C111" s="2">
        <v>584.32270000000005</v>
      </c>
      <c r="D111">
        <f t="shared" si="9"/>
        <v>-3.6381227382159542E-3</v>
      </c>
      <c r="F111">
        <f t="shared" si="7"/>
        <v>1.068070988299519</v>
      </c>
      <c r="G111" s="2">
        <v>121.59</v>
      </c>
      <c r="H111">
        <f t="shared" si="10"/>
        <v>3.3006023599306822E-3</v>
      </c>
      <c r="J111">
        <f t="shared" si="8"/>
        <v>1.4370978182651539</v>
      </c>
      <c r="K111" s="2">
        <v>64.405799999999999</v>
      </c>
      <c r="L111">
        <f t="shared" si="11"/>
        <v>-7.6952435327370949E-4</v>
      </c>
    </row>
    <row r="112" spans="2:12" x14ac:dyDescent="0.35">
      <c r="B112">
        <f t="shared" si="6"/>
        <v>1.1084461310893747</v>
      </c>
      <c r="C112" s="2">
        <v>586.45630000000006</v>
      </c>
      <c r="D112">
        <f t="shared" si="9"/>
        <v>-1.1411671100052811E-2</v>
      </c>
      <c r="F112">
        <f t="shared" si="7"/>
        <v>1.0647703859395883</v>
      </c>
      <c r="G112" s="2">
        <v>121.19</v>
      </c>
      <c r="H112">
        <f t="shared" si="10"/>
        <v>-2.5514403292181687E-3</v>
      </c>
      <c r="J112">
        <f t="shared" si="8"/>
        <v>1.4378673426184276</v>
      </c>
      <c r="K112" s="2">
        <v>64.455399999999997</v>
      </c>
      <c r="L112">
        <f t="shared" si="11"/>
        <v>-1.3197096026480115E-2</v>
      </c>
    </row>
    <row r="113" spans="2:12" x14ac:dyDescent="0.35">
      <c r="B113">
        <f t="shared" si="6"/>
        <v>1.1198578021894274</v>
      </c>
      <c r="C113" s="2">
        <v>593.226</v>
      </c>
      <c r="D113">
        <f t="shared" si="9"/>
        <v>-1.0526456248738714E-2</v>
      </c>
      <c r="F113">
        <f t="shared" si="7"/>
        <v>1.0673218262688065</v>
      </c>
      <c r="G113" s="2">
        <v>121.5</v>
      </c>
      <c r="H113">
        <f t="shared" si="10"/>
        <v>-1.5157655832049977E-2</v>
      </c>
      <c r="J113">
        <f t="shared" si="8"/>
        <v>1.4510644386449076</v>
      </c>
      <c r="K113" s="2">
        <v>65.317400000000006</v>
      </c>
      <c r="L113">
        <f t="shared" si="11"/>
        <v>-1.3321893131800322E-2</v>
      </c>
    </row>
    <row r="114" spans="2:12" x14ac:dyDescent="0.35">
      <c r="B114">
        <f t="shared" si="6"/>
        <v>1.130384258438166</v>
      </c>
      <c r="C114" s="2">
        <v>599.53700000000003</v>
      </c>
      <c r="D114">
        <f t="shared" si="9"/>
        <v>6.6555784840272025E-5</v>
      </c>
      <c r="F114">
        <f t="shared" si="7"/>
        <v>1.0824794821008565</v>
      </c>
      <c r="G114" s="2">
        <v>123.37</v>
      </c>
      <c r="H114">
        <f t="shared" si="10"/>
        <v>1.2059064807218967E-2</v>
      </c>
      <c r="J114">
        <f t="shared" si="8"/>
        <v>1.4643863317767079</v>
      </c>
      <c r="K114" s="2">
        <v>66.199299999999994</v>
      </c>
      <c r="L114">
        <f t="shared" si="11"/>
        <v>2.8525548772173615E-3</v>
      </c>
    </row>
    <row r="115" spans="2:12" x14ac:dyDescent="0.35">
      <c r="B115">
        <f t="shared" si="6"/>
        <v>1.1303177026533258</v>
      </c>
      <c r="C115" s="2">
        <v>599.49710000000005</v>
      </c>
      <c r="D115">
        <f t="shared" si="9"/>
        <v>1.111506713785948E-2</v>
      </c>
      <c r="F115">
        <f t="shared" si="7"/>
        <v>1.0704204172936376</v>
      </c>
      <c r="G115" s="2">
        <v>121.9</v>
      </c>
      <c r="H115">
        <f t="shared" si="10"/>
        <v>1.0276810873528941E-2</v>
      </c>
      <c r="J115">
        <f t="shared" si="8"/>
        <v>1.4615337768994905</v>
      </c>
      <c r="K115" s="2">
        <v>66.010999999999996</v>
      </c>
      <c r="L115">
        <f t="shared" si="11"/>
        <v>1.7720808614033468E-2</v>
      </c>
    </row>
    <row r="116" spans="2:12" x14ac:dyDescent="0.35">
      <c r="B116">
        <f t="shared" si="6"/>
        <v>1.1192026355154663</v>
      </c>
      <c r="C116" s="2">
        <v>592.90689999999995</v>
      </c>
      <c r="D116">
        <f t="shared" si="9"/>
        <v>5.9883521172761078E-3</v>
      </c>
      <c r="F116">
        <f t="shared" si="7"/>
        <v>1.0601436064201086</v>
      </c>
      <c r="G116" s="2">
        <v>120.66</v>
      </c>
      <c r="H116">
        <f t="shared" si="10"/>
        <v>1.4205261830713578E-2</v>
      </c>
      <c r="J116">
        <f t="shared" si="8"/>
        <v>1.443812968285457</v>
      </c>
      <c r="K116" s="2">
        <v>64.861599999999996</v>
      </c>
      <c r="L116">
        <f t="shared" si="11"/>
        <v>1.5265598280378434E-4</v>
      </c>
    </row>
    <row r="117" spans="2:12" x14ac:dyDescent="0.35">
      <c r="B117">
        <f t="shared" si="6"/>
        <v>1.1132142833981902</v>
      </c>
      <c r="C117" s="2">
        <v>589.37750000000005</v>
      </c>
      <c r="D117">
        <f t="shared" si="9"/>
        <v>1.2010137658551079E-2</v>
      </c>
      <c r="F117">
        <f t="shared" si="7"/>
        <v>1.0459383445893951</v>
      </c>
      <c r="G117" s="2">
        <v>118.97</v>
      </c>
      <c r="H117">
        <f t="shared" si="10"/>
        <v>-4.1851510839541195E-3</v>
      </c>
      <c r="J117">
        <f t="shared" si="8"/>
        <v>1.4436603123026532</v>
      </c>
      <c r="K117" s="2">
        <v>64.851699999999994</v>
      </c>
      <c r="L117">
        <f t="shared" si="11"/>
        <v>1.8359831978957963E-2</v>
      </c>
    </row>
    <row r="118" spans="2:12" x14ac:dyDescent="0.35">
      <c r="B118">
        <f t="shared" si="6"/>
        <v>1.1012041457396391</v>
      </c>
      <c r="C118" s="2">
        <v>582.38300000000004</v>
      </c>
      <c r="D118">
        <f t="shared" si="9"/>
        <v>-3.0709183006993879E-4</v>
      </c>
      <c r="F118">
        <f t="shared" si="7"/>
        <v>1.0501234956733492</v>
      </c>
      <c r="G118" s="2">
        <v>119.47</v>
      </c>
      <c r="H118">
        <f t="shared" si="10"/>
        <v>-6.4864864864865313E-3</v>
      </c>
      <c r="J118">
        <f t="shared" si="8"/>
        <v>1.4253004803236953</v>
      </c>
      <c r="K118" s="2">
        <v>63.682499999999997</v>
      </c>
      <c r="L118">
        <f t="shared" si="11"/>
        <v>1.0693761337720042E-2</v>
      </c>
    </row>
    <row r="119" spans="2:12" x14ac:dyDescent="0.35">
      <c r="B119">
        <f t="shared" si="6"/>
        <v>1.1015112375697091</v>
      </c>
      <c r="C119" s="2">
        <v>582.56190000000004</v>
      </c>
      <c r="D119">
        <f t="shared" si="9"/>
        <v>-2.9803598155207278E-2</v>
      </c>
      <c r="F119">
        <f t="shared" si="7"/>
        <v>1.0566099821598356</v>
      </c>
      <c r="G119" s="2">
        <v>120.25</v>
      </c>
      <c r="H119">
        <f t="shared" si="10"/>
        <v>-4.3813613231552195E-2</v>
      </c>
      <c r="J119">
        <f t="shared" si="8"/>
        <v>1.4146067189859752</v>
      </c>
      <c r="K119" s="2">
        <v>63.008699999999997</v>
      </c>
      <c r="L119">
        <f t="shared" si="11"/>
        <v>-5.3579528897887863E-2</v>
      </c>
    </row>
    <row r="120" spans="2:12" x14ac:dyDescent="0.35">
      <c r="B120">
        <f t="shared" si="6"/>
        <v>1.1313148357249163</v>
      </c>
      <c r="C120" s="2">
        <v>600.45770000000005</v>
      </c>
      <c r="D120">
        <f t="shared" si="9"/>
        <v>-4.1199664710589445E-3</v>
      </c>
      <c r="F120">
        <f t="shared" si="7"/>
        <v>1.1004235953913879</v>
      </c>
      <c r="G120" s="2">
        <v>125.76</v>
      </c>
      <c r="H120">
        <f t="shared" si="10"/>
        <v>-8.1236690590740235E-3</v>
      </c>
      <c r="J120">
        <f t="shared" si="8"/>
        <v>1.468186247883863</v>
      </c>
      <c r="K120" s="2">
        <v>66.575800000000001</v>
      </c>
      <c r="L120">
        <f t="shared" si="11"/>
        <v>-1.9839996231048485E-2</v>
      </c>
    </row>
    <row r="121" spans="2:12" x14ac:dyDescent="0.35">
      <c r="B121">
        <f t="shared" si="6"/>
        <v>1.1354348021959753</v>
      </c>
      <c r="C121" s="2">
        <v>602.94179999999994</v>
      </c>
      <c r="D121">
        <f t="shared" si="9"/>
        <v>4.2699751589914126E-3</v>
      </c>
      <c r="F121">
        <f t="shared" si="7"/>
        <v>1.1085472644504619</v>
      </c>
      <c r="G121" s="2">
        <v>126.79</v>
      </c>
      <c r="H121">
        <f t="shared" si="10"/>
        <v>2.4896936383477675E-2</v>
      </c>
      <c r="J121">
        <f t="shared" si="8"/>
        <v>1.4880262441149115</v>
      </c>
      <c r="K121" s="2">
        <v>67.923400000000001</v>
      </c>
      <c r="L121">
        <f t="shared" si="11"/>
        <v>7.2007093944346234E-3</v>
      </c>
    </row>
    <row r="122" spans="2:12" x14ac:dyDescent="0.35">
      <c r="B122">
        <f t="shared" si="6"/>
        <v>1.1311648270369838</v>
      </c>
      <c r="C122" s="2">
        <v>600.37819999999999</v>
      </c>
      <c r="D122">
        <f t="shared" si="9"/>
        <v>-1.9850210841876326E-4</v>
      </c>
      <c r="F122">
        <f t="shared" si="7"/>
        <v>1.0836503280669842</v>
      </c>
      <c r="G122" s="2">
        <v>123.71</v>
      </c>
      <c r="H122">
        <f t="shared" si="10"/>
        <v>-6.1058889692295892E-3</v>
      </c>
      <c r="J122">
        <f t="shared" si="8"/>
        <v>1.4808255347204768</v>
      </c>
      <c r="K122" s="2">
        <v>67.437799999999996</v>
      </c>
      <c r="L122">
        <f t="shared" si="11"/>
        <v>-6.8582620925283777E-3</v>
      </c>
    </row>
    <row r="123" spans="2:12" x14ac:dyDescent="0.35">
      <c r="B123">
        <f t="shared" si="6"/>
        <v>1.1313633291454026</v>
      </c>
      <c r="C123" s="2">
        <v>600.49739999999997</v>
      </c>
      <c r="D123">
        <f t="shared" si="9"/>
        <v>-5.1526852875942719E-3</v>
      </c>
      <c r="F123">
        <f t="shared" si="7"/>
        <v>1.0897562170362138</v>
      </c>
      <c r="G123" s="2">
        <v>124.47</v>
      </c>
      <c r="H123">
        <f t="shared" si="10"/>
        <v>-7.3371082223463446E-3</v>
      </c>
      <c r="J123">
        <f t="shared" si="8"/>
        <v>1.4876837968130052</v>
      </c>
      <c r="K123" s="2">
        <v>67.903499999999994</v>
      </c>
      <c r="L123">
        <f t="shared" si="11"/>
        <v>0</v>
      </c>
    </row>
    <row r="124" spans="2:12" x14ac:dyDescent="0.35">
      <c r="B124">
        <f t="shared" si="6"/>
        <v>1.1365160144329969</v>
      </c>
      <c r="C124" s="2">
        <v>603.60760000000005</v>
      </c>
      <c r="D124">
        <f t="shared" si="9"/>
        <v>7.7306795201355083E-3</v>
      </c>
      <c r="F124">
        <f t="shared" si="7"/>
        <v>1.0970933252585602</v>
      </c>
      <c r="G124" s="2">
        <v>125.39</v>
      </c>
      <c r="H124">
        <f t="shared" si="10"/>
        <v>-1.0339384372533567E-2</v>
      </c>
      <c r="J124">
        <f t="shared" si="8"/>
        <v>1.4876837968130052</v>
      </c>
      <c r="K124" s="2">
        <v>67.903499999999994</v>
      </c>
      <c r="L124">
        <f t="shared" si="11"/>
        <v>2.4823909916735332E-2</v>
      </c>
    </row>
    <row r="125" spans="2:12" x14ac:dyDescent="0.35">
      <c r="B125">
        <f t="shared" si="6"/>
        <v>1.1287853349128614</v>
      </c>
      <c r="C125" s="2">
        <v>598.97709999999995</v>
      </c>
      <c r="D125">
        <f t="shared" si="9"/>
        <v>-3.1091202858906097E-3</v>
      </c>
      <c r="F125">
        <f t="shared" si="7"/>
        <v>1.1074327096310936</v>
      </c>
      <c r="G125" s="2">
        <v>126.7</v>
      </c>
      <c r="H125">
        <f t="shared" si="10"/>
        <v>-1.782945736434105E-2</v>
      </c>
      <c r="J125">
        <f t="shared" si="8"/>
        <v>1.4628598868962699</v>
      </c>
      <c r="K125" s="2">
        <v>66.258700000000005</v>
      </c>
      <c r="L125">
        <f t="shared" si="11"/>
        <v>-1.5604153976436885E-2</v>
      </c>
    </row>
    <row r="126" spans="2:12" x14ac:dyDescent="0.35">
      <c r="B126">
        <f t="shared" si="6"/>
        <v>1.131894455198752</v>
      </c>
      <c r="C126" s="2">
        <v>600.84519999999998</v>
      </c>
      <c r="D126">
        <f t="shared" si="9"/>
        <v>-5.1495532864765936E-3</v>
      </c>
      <c r="F126">
        <f t="shared" si="7"/>
        <v>1.1252621669954346</v>
      </c>
      <c r="G126" s="2">
        <v>129</v>
      </c>
      <c r="H126">
        <f t="shared" si="10"/>
        <v>6.4757743621752795E-3</v>
      </c>
      <c r="J126">
        <f t="shared" si="8"/>
        <v>1.4784640408727068</v>
      </c>
      <c r="K126" s="2">
        <v>67.308999999999997</v>
      </c>
      <c r="L126">
        <f t="shared" si="11"/>
        <v>1.471044932250809E-4</v>
      </c>
    </row>
    <row r="127" spans="2:12" x14ac:dyDescent="0.35">
      <c r="B127">
        <f t="shared" si="6"/>
        <v>1.1370440084852287</v>
      </c>
      <c r="C127" s="2">
        <v>603.95529999999997</v>
      </c>
      <c r="D127">
        <f t="shared" si="9"/>
        <v>1.8956139934698246E-3</v>
      </c>
      <c r="F127">
        <f t="shared" si="7"/>
        <v>1.1187863926332593</v>
      </c>
      <c r="G127" s="2">
        <v>128.16999999999999</v>
      </c>
      <c r="H127">
        <f t="shared" si="10"/>
        <v>1.4966740576496607E-2</v>
      </c>
      <c r="J127">
        <f t="shared" si="8"/>
        <v>1.4783169363794817</v>
      </c>
      <c r="K127" s="2">
        <v>67.299099999999996</v>
      </c>
      <c r="L127">
        <f t="shared" si="11"/>
        <v>1.494232245435323E-2</v>
      </c>
    </row>
    <row r="128" spans="2:12" x14ac:dyDescent="0.35">
      <c r="B128">
        <f t="shared" si="6"/>
        <v>1.1351483944917589</v>
      </c>
      <c r="C128" s="2">
        <v>602.81259999999997</v>
      </c>
      <c r="D128">
        <f t="shared" si="9"/>
        <v>-1.6457264523407344E-3</v>
      </c>
      <c r="F128">
        <f t="shared" si="7"/>
        <v>1.1038196520567627</v>
      </c>
      <c r="G128" s="2">
        <v>126.28</v>
      </c>
      <c r="H128">
        <f t="shared" si="10"/>
        <v>-1.9758160120129098E-3</v>
      </c>
      <c r="J128">
        <f t="shared" si="8"/>
        <v>1.4633746139251285</v>
      </c>
      <c r="K128" s="2">
        <v>66.308300000000003</v>
      </c>
      <c r="L128">
        <f t="shared" si="11"/>
        <v>1.4967708415145609E-3</v>
      </c>
    </row>
    <row r="129" spans="2:12" x14ac:dyDescent="0.35">
      <c r="B129">
        <f t="shared" si="6"/>
        <v>1.1367941209440995</v>
      </c>
      <c r="C129" s="2">
        <v>603.80629999999996</v>
      </c>
      <c r="D129">
        <f t="shared" si="9"/>
        <v>6.2095043645005177E-3</v>
      </c>
      <c r="F129">
        <f t="shared" si="7"/>
        <v>1.1057954680687756</v>
      </c>
      <c r="G129" s="2">
        <v>126.53</v>
      </c>
      <c r="H129">
        <f t="shared" si="10"/>
        <v>4.1266566145543582E-3</v>
      </c>
      <c r="J129">
        <f t="shared" si="8"/>
        <v>1.4618778430836139</v>
      </c>
      <c r="K129" s="2">
        <v>66.209199999999996</v>
      </c>
      <c r="L129">
        <f t="shared" si="11"/>
        <v>-4.7665359414248432E-3</v>
      </c>
    </row>
    <row r="130" spans="2:12" x14ac:dyDescent="0.35">
      <c r="B130">
        <f t="shared" si="6"/>
        <v>1.130584616579599</v>
      </c>
      <c r="C130" s="2">
        <v>600.08010000000002</v>
      </c>
      <c r="D130">
        <f t="shared" si="9"/>
        <v>4.6398660357471755E-4</v>
      </c>
      <c r="F130">
        <f t="shared" si="7"/>
        <v>1.1016688114542212</v>
      </c>
      <c r="G130" s="2">
        <v>126.01</v>
      </c>
      <c r="H130">
        <f t="shared" si="10"/>
        <v>-1.5162172723720224E-2</v>
      </c>
      <c r="J130">
        <f t="shared" si="8"/>
        <v>1.4666443790250387</v>
      </c>
      <c r="K130" s="2">
        <v>66.526300000000006</v>
      </c>
      <c r="L130">
        <f t="shared" si="11"/>
        <v>7.4612608628310539E-4</v>
      </c>
    </row>
    <row r="131" spans="2:12" x14ac:dyDescent="0.35">
      <c r="B131">
        <f t="shared" si="6"/>
        <v>1.1301206299760242</v>
      </c>
      <c r="C131" s="2">
        <v>599.80179999999996</v>
      </c>
      <c r="D131">
        <f t="shared" si="9"/>
        <v>1.7922975798554397E-3</v>
      </c>
      <c r="F131">
        <f t="shared" si="7"/>
        <v>1.1168309841779416</v>
      </c>
      <c r="G131" s="2">
        <v>127.95</v>
      </c>
      <c r="H131">
        <f t="shared" si="10"/>
        <v>-4.0422978851057501E-2</v>
      </c>
      <c r="J131">
        <f t="shared" si="8"/>
        <v>1.4658982529387556</v>
      </c>
      <c r="K131" s="2">
        <v>66.476699999999994</v>
      </c>
      <c r="L131">
        <f t="shared" si="11"/>
        <v>-6.3689412102334586E-3</v>
      </c>
    </row>
    <row r="132" spans="2:12" x14ac:dyDescent="0.35">
      <c r="B132">
        <f t="shared" ref="B132:B195" si="12">B133*1+D132</f>
        <v>1.1283283323961688</v>
      </c>
      <c r="C132" s="2">
        <v>598.7287</v>
      </c>
      <c r="D132">
        <f t="shared" si="9"/>
        <v>6.2120997465180405E-3</v>
      </c>
      <c r="F132">
        <f t="shared" ref="F132:F195" si="13">F133*1+H132</f>
        <v>1.1572539630289991</v>
      </c>
      <c r="G132" s="2">
        <v>133.34</v>
      </c>
      <c r="H132">
        <f t="shared" si="10"/>
        <v>-3.3347832390894561E-2</v>
      </c>
      <c r="J132">
        <f t="shared" ref="J132:J195" si="14">J133*1+L132</f>
        <v>1.4722671941489891</v>
      </c>
      <c r="K132" s="2">
        <v>66.902799999999999</v>
      </c>
      <c r="L132">
        <f t="shared" si="11"/>
        <v>4.4635953487324187E-3</v>
      </c>
    </row>
    <row r="133" spans="2:12" x14ac:dyDescent="0.35">
      <c r="B133">
        <f t="shared" si="12"/>
        <v>1.1221162326496508</v>
      </c>
      <c r="C133" s="2">
        <v>595.03229999999996</v>
      </c>
      <c r="D133">
        <f t="shared" ref="D133:D196" si="15">C133/C134-1</f>
        <v>-3.0299542239663468E-3</v>
      </c>
      <c r="F133">
        <f t="shared" si="13"/>
        <v>1.1906017954198935</v>
      </c>
      <c r="G133" s="2">
        <v>137.94</v>
      </c>
      <c r="H133">
        <f t="shared" ref="H133:H196" si="16">G133/G134-1</f>
        <v>5.701149425287344E-2</v>
      </c>
      <c r="J133">
        <f t="shared" si="14"/>
        <v>1.4678035988002567</v>
      </c>
      <c r="K133" s="2">
        <v>66.605500000000006</v>
      </c>
      <c r="L133">
        <f t="shared" ref="L133:L196" si="17">K133/K134-1</f>
        <v>-5.9569181276364347E-4</v>
      </c>
    </row>
    <row r="134" spans="2:12" x14ac:dyDescent="0.35">
      <c r="B134">
        <f t="shared" si="12"/>
        <v>1.125146186873617</v>
      </c>
      <c r="C134" s="2">
        <v>596.84069999999997</v>
      </c>
      <c r="D134">
        <f t="shared" si="15"/>
        <v>5.2214730172523982E-3</v>
      </c>
      <c r="F134">
        <f t="shared" si="13"/>
        <v>1.1335903011670201</v>
      </c>
      <c r="G134" s="2">
        <v>130.5</v>
      </c>
      <c r="H134">
        <f t="shared" si="16"/>
        <v>0.13824683820322714</v>
      </c>
      <c r="J134">
        <f t="shared" si="14"/>
        <v>1.4683992906130203</v>
      </c>
      <c r="K134" s="2">
        <v>66.645200000000003</v>
      </c>
      <c r="L134">
        <f t="shared" si="17"/>
        <v>3.2817881831539442E-3</v>
      </c>
    </row>
    <row r="135" spans="2:12" x14ac:dyDescent="0.35">
      <c r="B135">
        <f t="shared" si="12"/>
        <v>1.1199247138563646</v>
      </c>
      <c r="C135" s="2">
        <v>593.7405</v>
      </c>
      <c r="D135">
        <f t="shared" si="15"/>
        <v>3.3920686904049813E-3</v>
      </c>
      <c r="F135">
        <f t="shared" si="13"/>
        <v>0.99534346296379295</v>
      </c>
      <c r="G135" s="2">
        <v>114.65</v>
      </c>
      <c r="H135">
        <f t="shared" si="16"/>
        <v>3.6767924363128035E-3</v>
      </c>
      <c r="J135">
        <f t="shared" si="14"/>
        <v>1.4651175024298664</v>
      </c>
      <c r="K135" s="2">
        <v>66.427199999999999</v>
      </c>
      <c r="L135">
        <f t="shared" si="17"/>
        <v>1.591146836976276E-2</v>
      </c>
    </row>
    <row r="136" spans="2:12" x14ac:dyDescent="0.35">
      <c r="B136">
        <f t="shared" si="12"/>
        <v>1.1165326451659596</v>
      </c>
      <c r="C136" s="2">
        <v>591.73329999999999</v>
      </c>
      <c r="D136">
        <f t="shared" si="15"/>
        <v>3.0993126011815697E-3</v>
      </c>
      <c r="F136">
        <f t="shared" si="13"/>
        <v>0.99166667052748014</v>
      </c>
      <c r="G136" s="2">
        <v>114.23</v>
      </c>
      <c r="H136">
        <f t="shared" si="16"/>
        <v>3.3755656108597432E-2</v>
      </c>
      <c r="J136">
        <f t="shared" si="14"/>
        <v>1.4492060340601036</v>
      </c>
      <c r="K136" s="2">
        <v>65.386799999999994</v>
      </c>
      <c r="L136">
        <f t="shared" si="17"/>
        <v>1.3049911301505013E-2</v>
      </c>
    </row>
    <row r="137" spans="2:12" x14ac:dyDescent="0.35">
      <c r="B137">
        <f t="shared" si="12"/>
        <v>1.1134333325647781</v>
      </c>
      <c r="C137" s="2">
        <v>589.90499999999997</v>
      </c>
      <c r="D137">
        <f t="shared" si="15"/>
        <v>5.3683385112459625E-3</v>
      </c>
      <c r="F137">
        <f t="shared" si="13"/>
        <v>0.95791101441888271</v>
      </c>
      <c r="G137" s="2">
        <v>110.5</v>
      </c>
      <c r="H137">
        <f t="shared" si="16"/>
        <v>-3.2473389861086277E-3</v>
      </c>
      <c r="J137">
        <f t="shared" si="14"/>
        <v>1.4361561227585986</v>
      </c>
      <c r="K137" s="2">
        <v>64.544499999999999</v>
      </c>
      <c r="L137">
        <f t="shared" si="17"/>
        <v>1.1490127924050908E-2</v>
      </c>
    </row>
    <row r="138" spans="2:12" x14ac:dyDescent="0.35">
      <c r="B138">
        <f t="shared" si="12"/>
        <v>1.1080649940535321</v>
      </c>
      <c r="C138" s="2">
        <v>586.75509999999997</v>
      </c>
      <c r="D138">
        <f t="shared" si="15"/>
        <v>3.3875685270823297E-4</v>
      </c>
      <c r="F138">
        <f t="shared" si="13"/>
        <v>0.96115835340499134</v>
      </c>
      <c r="G138" s="2">
        <v>110.86</v>
      </c>
      <c r="H138">
        <f t="shared" si="16"/>
        <v>3.9767398236728591E-2</v>
      </c>
      <c r="J138">
        <f t="shared" si="14"/>
        <v>1.4246659948345477</v>
      </c>
      <c r="K138" s="2">
        <v>63.811300000000003</v>
      </c>
      <c r="L138">
        <f t="shared" si="17"/>
        <v>1.1782483089734619E-2</v>
      </c>
    </row>
    <row r="139" spans="2:12" x14ac:dyDescent="0.35">
      <c r="B139">
        <f t="shared" si="12"/>
        <v>1.1077262372008239</v>
      </c>
      <c r="C139" s="2">
        <v>586.55640000000005</v>
      </c>
      <c r="D139">
        <f t="shared" si="15"/>
        <v>3.6555901577635108E-3</v>
      </c>
      <c r="F139">
        <f t="shared" si="13"/>
        <v>0.92139095516826275</v>
      </c>
      <c r="G139" s="2">
        <v>106.62</v>
      </c>
      <c r="H139">
        <f t="shared" si="16"/>
        <v>1.8629979936944707E-2</v>
      </c>
      <c r="J139">
        <f t="shared" si="14"/>
        <v>1.4128835117448131</v>
      </c>
      <c r="K139" s="2">
        <v>63.068199999999997</v>
      </c>
      <c r="L139">
        <f t="shared" si="17"/>
        <v>-6.2444358657202104E-3</v>
      </c>
    </row>
    <row r="140" spans="2:12" x14ac:dyDescent="0.35">
      <c r="B140">
        <f t="shared" si="12"/>
        <v>1.1040706470430603</v>
      </c>
      <c r="C140" s="2">
        <v>584.41999999999996</v>
      </c>
      <c r="D140">
        <f t="shared" si="15"/>
        <v>4.0973466896845334E-3</v>
      </c>
      <c r="F140">
        <f t="shared" si="13"/>
        <v>0.90276097523131804</v>
      </c>
      <c r="G140" s="2">
        <v>104.67</v>
      </c>
      <c r="H140">
        <f t="shared" si="16"/>
        <v>1.2435431413813092E-3</v>
      </c>
      <c r="J140">
        <f t="shared" si="14"/>
        <v>1.4191279476105332</v>
      </c>
      <c r="K140" s="2">
        <v>63.464500000000001</v>
      </c>
      <c r="L140">
        <f t="shared" si="17"/>
        <v>-1.4312117541080305E-2</v>
      </c>
    </row>
    <row r="141" spans="2:12" x14ac:dyDescent="0.35">
      <c r="B141">
        <f t="shared" si="12"/>
        <v>1.0999733003533758</v>
      </c>
      <c r="C141" s="2">
        <v>582.03520000000003</v>
      </c>
      <c r="D141">
        <f t="shared" si="15"/>
        <v>-1.2808627055888255E-2</v>
      </c>
      <c r="F141">
        <f t="shared" si="13"/>
        <v>0.90151743208993673</v>
      </c>
      <c r="G141" s="2">
        <v>104.54</v>
      </c>
      <c r="H141">
        <f t="shared" si="16"/>
        <v>-4.1884336907707764E-2</v>
      </c>
      <c r="J141">
        <f t="shared" si="14"/>
        <v>1.4334400651516135</v>
      </c>
      <c r="K141" s="2">
        <v>64.385999999999996</v>
      </c>
      <c r="L141">
        <f t="shared" si="17"/>
        <v>1.3873163205633254E-3</v>
      </c>
    </row>
    <row r="142" spans="2:12" x14ac:dyDescent="0.35">
      <c r="B142">
        <f t="shared" si="12"/>
        <v>1.1127819274092641</v>
      </c>
      <c r="C142" s="2">
        <v>589.58699999999999</v>
      </c>
      <c r="D142">
        <f t="shared" si="15"/>
        <v>-6.4302033003894588E-3</v>
      </c>
      <c r="F142">
        <f t="shared" si="13"/>
        <v>0.9434017689976445</v>
      </c>
      <c r="G142" s="2">
        <v>109.11</v>
      </c>
      <c r="H142">
        <f t="shared" si="16"/>
        <v>-2.9960881934566141E-2</v>
      </c>
      <c r="J142">
        <f t="shared" si="14"/>
        <v>1.4320527488310502</v>
      </c>
      <c r="K142" s="2">
        <v>64.296800000000005</v>
      </c>
      <c r="L142">
        <f t="shared" si="17"/>
        <v>-3.6848450288681223E-3</v>
      </c>
    </row>
    <row r="143" spans="2:12" x14ac:dyDescent="0.35">
      <c r="B143">
        <f t="shared" si="12"/>
        <v>1.1192121307096534</v>
      </c>
      <c r="C143" s="2">
        <v>593.40269999999998</v>
      </c>
      <c r="D143">
        <f t="shared" si="15"/>
        <v>4.8590955034821803E-4</v>
      </c>
      <c r="F143">
        <f t="shared" si="13"/>
        <v>0.97336265093221064</v>
      </c>
      <c r="G143" s="2">
        <v>112.48</v>
      </c>
      <c r="H143">
        <f t="shared" si="16"/>
        <v>-1.6095171448565315E-2</v>
      </c>
      <c r="J143">
        <f t="shared" si="14"/>
        <v>1.4357375938599182</v>
      </c>
      <c r="K143" s="2">
        <v>64.534599999999998</v>
      </c>
      <c r="L143">
        <f t="shared" si="17"/>
        <v>1.5342961687547785E-4</v>
      </c>
    </row>
    <row r="144" spans="2:12" x14ac:dyDescent="0.35">
      <c r="B144">
        <f t="shared" si="12"/>
        <v>1.1187262211593052</v>
      </c>
      <c r="C144" s="2">
        <v>593.11450000000002</v>
      </c>
      <c r="D144">
        <f t="shared" si="15"/>
        <v>-3.1064132255685939E-3</v>
      </c>
      <c r="F144">
        <f t="shared" si="13"/>
        <v>0.98945782238077595</v>
      </c>
      <c r="G144" s="2">
        <v>114.32</v>
      </c>
      <c r="H144">
        <f t="shared" si="16"/>
        <v>-2.9871011541072745E-2</v>
      </c>
      <c r="J144">
        <f t="shared" si="14"/>
        <v>1.4355841642430427</v>
      </c>
      <c r="K144" s="2">
        <v>64.524699999999996</v>
      </c>
      <c r="L144">
        <f t="shared" si="17"/>
        <v>-7.3168893066647422E-3</v>
      </c>
    </row>
    <row r="145" spans="2:12" x14ac:dyDescent="0.35">
      <c r="B145">
        <f t="shared" si="12"/>
        <v>1.1218326343848739</v>
      </c>
      <c r="C145" s="2">
        <v>594.96270000000004</v>
      </c>
      <c r="D145">
        <f t="shared" si="15"/>
        <v>9.528996058691952E-4</v>
      </c>
      <c r="F145">
        <f t="shared" si="13"/>
        <v>1.0193288339218487</v>
      </c>
      <c r="G145" s="2">
        <v>117.84</v>
      </c>
      <c r="H145">
        <f t="shared" si="16"/>
        <v>-3.1000740070717847E-2</v>
      </c>
      <c r="J145">
        <f t="shared" si="14"/>
        <v>1.4429010535497073</v>
      </c>
      <c r="K145" s="2">
        <v>65.000299999999996</v>
      </c>
      <c r="L145">
        <f t="shared" si="17"/>
        <v>2.837348454045352E-2</v>
      </c>
    </row>
    <row r="146" spans="2:12" x14ac:dyDescent="0.35">
      <c r="B146">
        <f t="shared" si="12"/>
        <v>1.1208797347790047</v>
      </c>
      <c r="C146" s="2">
        <v>594.3963</v>
      </c>
      <c r="D146">
        <f t="shared" si="15"/>
        <v>4.3316295297639584E-3</v>
      </c>
      <c r="F146">
        <f t="shared" si="13"/>
        <v>1.0503295739925664</v>
      </c>
      <c r="G146" s="2">
        <v>121.61</v>
      </c>
      <c r="H146">
        <f t="shared" si="16"/>
        <v>9.88207938880592E-3</v>
      </c>
      <c r="J146">
        <f t="shared" si="14"/>
        <v>1.4145275690092538</v>
      </c>
      <c r="K146" s="2">
        <v>63.206899999999997</v>
      </c>
      <c r="L146">
        <f t="shared" si="17"/>
        <v>-1.314928703135565E-2</v>
      </c>
    </row>
    <row r="147" spans="2:12" x14ac:dyDescent="0.35">
      <c r="B147">
        <f t="shared" si="12"/>
        <v>1.1165481052492408</v>
      </c>
      <c r="C147" s="2">
        <v>591.83270000000005</v>
      </c>
      <c r="D147">
        <f t="shared" si="15"/>
        <v>7.7321031439743226E-3</v>
      </c>
      <c r="F147">
        <f t="shared" si="13"/>
        <v>1.0404474946037605</v>
      </c>
      <c r="G147" s="2">
        <v>120.42</v>
      </c>
      <c r="H147">
        <f t="shared" si="16"/>
        <v>-5.8998202703758662E-2</v>
      </c>
      <c r="J147">
        <f t="shared" si="14"/>
        <v>1.4276768560406095</v>
      </c>
      <c r="K147" s="2">
        <v>64.049099999999996</v>
      </c>
      <c r="L147">
        <f t="shared" si="17"/>
        <v>-4.2512733040427353E-2</v>
      </c>
    </row>
    <row r="148" spans="2:12" x14ac:dyDescent="0.35">
      <c r="B148">
        <f t="shared" si="12"/>
        <v>1.1088160021052664</v>
      </c>
      <c r="C148" s="2">
        <v>587.29169999999999</v>
      </c>
      <c r="D148">
        <f t="shared" si="15"/>
        <v>2.4865690613577351E-2</v>
      </c>
      <c r="F148">
        <f t="shared" si="13"/>
        <v>1.0994456973075193</v>
      </c>
      <c r="G148" s="2">
        <v>127.97</v>
      </c>
      <c r="H148">
        <f t="shared" si="16"/>
        <v>2.3678105751539835E-2</v>
      </c>
      <c r="J148">
        <f t="shared" si="14"/>
        <v>1.4701895890810368</v>
      </c>
      <c r="K148" s="2">
        <v>66.892899999999997</v>
      </c>
      <c r="L148">
        <f t="shared" si="17"/>
        <v>0.18813831468936382</v>
      </c>
    </row>
    <row r="149" spans="2:12" x14ac:dyDescent="0.35">
      <c r="B149">
        <f t="shared" si="12"/>
        <v>1.0839503114916891</v>
      </c>
      <c r="C149" s="2">
        <v>573.04259999999999</v>
      </c>
      <c r="D149">
        <f t="shared" si="15"/>
        <v>1.2091742740106382E-2</v>
      </c>
      <c r="F149">
        <f t="shared" si="13"/>
        <v>1.0757675915559795</v>
      </c>
      <c r="G149" s="2">
        <v>125.01</v>
      </c>
      <c r="H149">
        <f t="shared" si="16"/>
        <v>1.5763386690501369E-2</v>
      </c>
      <c r="J149">
        <f t="shared" si="14"/>
        <v>1.282051274391673</v>
      </c>
      <c r="K149" s="2">
        <v>56.300600000000003</v>
      </c>
      <c r="L149">
        <f t="shared" si="17"/>
        <v>3.1964909901075478E-2</v>
      </c>
    </row>
    <row r="150" spans="2:12" x14ac:dyDescent="0.35">
      <c r="B150">
        <f t="shared" si="12"/>
        <v>1.0718585687515827</v>
      </c>
      <c r="C150" s="2">
        <v>566.19629999999995</v>
      </c>
      <c r="D150">
        <f t="shared" si="15"/>
        <v>-2.1539657237119592E-3</v>
      </c>
      <c r="F150">
        <f t="shared" si="13"/>
        <v>1.0600042048654781</v>
      </c>
      <c r="G150" s="2">
        <v>123.07</v>
      </c>
      <c r="H150">
        <f t="shared" si="16"/>
        <v>-1.7844107389083375E-3</v>
      </c>
      <c r="J150">
        <f t="shared" si="14"/>
        <v>1.2500863644905975</v>
      </c>
      <c r="K150" s="2">
        <v>54.556699999999999</v>
      </c>
      <c r="L150">
        <f t="shared" si="17"/>
        <v>1.0917992117025488E-3</v>
      </c>
    </row>
    <row r="151" spans="2:12" x14ac:dyDescent="0.35">
      <c r="B151">
        <f t="shared" si="12"/>
        <v>1.0740125344752947</v>
      </c>
      <c r="C151" s="2">
        <v>567.41849999999999</v>
      </c>
      <c r="D151">
        <f t="shared" si="15"/>
        <v>4.2204554842559805E-3</v>
      </c>
      <c r="F151">
        <f t="shared" si="13"/>
        <v>1.0617886156043865</v>
      </c>
      <c r="G151" s="2">
        <v>123.29</v>
      </c>
      <c r="H151">
        <f t="shared" si="16"/>
        <v>-2.1507936507936476E-2</v>
      </c>
      <c r="J151">
        <f t="shared" si="14"/>
        <v>1.248994565278895</v>
      </c>
      <c r="K151" s="2">
        <v>54.497199999999999</v>
      </c>
      <c r="L151">
        <f t="shared" si="17"/>
        <v>1.9948996758518689E-3</v>
      </c>
    </row>
    <row r="152" spans="2:12" x14ac:dyDescent="0.35">
      <c r="B152">
        <f t="shared" si="12"/>
        <v>1.0697920789910387</v>
      </c>
      <c r="C152" s="2">
        <v>565.03380000000004</v>
      </c>
      <c r="D152">
        <f t="shared" si="15"/>
        <v>-1.9602950801239971E-2</v>
      </c>
      <c r="F152">
        <f t="shared" si="13"/>
        <v>1.083296552112323</v>
      </c>
      <c r="G152" s="2">
        <v>126</v>
      </c>
      <c r="H152">
        <f t="shared" si="16"/>
        <v>-1.3930192518391005E-2</v>
      </c>
      <c r="J152">
        <f t="shared" si="14"/>
        <v>1.2469996656030431</v>
      </c>
      <c r="K152" s="2">
        <v>54.3887</v>
      </c>
      <c r="L152">
        <f t="shared" si="17"/>
        <v>-2.077857075984646E-2</v>
      </c>
    </row>
    <row r="153" spans="2:12" x14ac:dyDescent="0.35">
      <c r="B153">
        <f t="shared" si="12"/>
        <v>1.0893950297922788</v>
      </c>
      <c r="C153" s="2">
        <v>576.33159999999998</v>
      </c>
      <c r="D153">
        <f t="shared" si="15"/>
        <v>-3.0253571950620284E-3</v>
      </c>
      <c r="F153">
        <f t="shared" si="13"/>
        <v>1.097226744630714</v>
      </c>
      <c r="G153" s="2">
        <v>127.78</v>
      </c>
      <c r="H153">
        <f t="shared" si="16"/>
        <v>-1.8662161124337606E-2</v>
      </c>
      <c r="J153">
        <f t="shared" si="14"/>
        <v>1.2677782363628896</v>
      </c>
      <c r="K153" s="2">
        <v>55.5428</v>
      </c>
      <c r="L153">
        <f t="shared" si="17"/>
        <v>1.004538974075464E-2</v>
      </c>
    </row>
    <row r="154" spans="2:12" x14ac:dyDescent="0.35">
      <c r="B154">
        <f t="shared" si="12"/>
        <v>1.0924203869873408</v>
      </c>
      <c r="C154" s="2">
        <v>578.08050000000003</v>
      </c>
      <c r="D154">
        <f t="shared" si="15"/>
        <v>1.6184801637852964E-3</v>
      </c>
      <c r="F154">
        <f t="shared" si="13"/>
        <v>1.1158889057550516</v>
      </c>
      <c r="G154" s="2">
        <v>130.21</v>
      </c>
      <c r="H154">
        <f t="shared" si="16"/>
        <v>-3.8384768923682699E-4</v>
      </c>
      <c r="J154">
        <f t="shared" si="14"/>
        <v>1.2577328466221349</v>
      </c>
      <c r="K154" s="2">
        <v>54.990400000000001</v>
      </c>
      <c r="L154">
        <f t="shared" si="17"/>
        <v>-1.8312559580978327E-2</v>
      </c>
    </row>
    <row r="155" spans="2:12" x14ac:dyDescent="0.35">
      <c r="B155">
        <f t="shared" si="12"/>
        <v>1.0908019068235555</v>
      </c>
      <c r="C155" s="2">
        <v>577.14639999999997</v>
      </c>
      <c r="D155">
        <f t="shared" si="15"/>
        <v>3.0912400728715372E-3</v>
      </c>
      <c r="F155">
        <f t="shared" si="13"/>
        <v>1.1162727534442884</v>
      </c>
      <c r="G155" s="2">
        <v>130.26</v>
      </c>
      <c r="H155">
        <f t="shared" si="16"/>
        <v>-6.7103858471861955E-3</v>
      </c>
      <c r="J155">
        <f t="shared" si="14"/>
        <v>1.2760454062031132</v>
      </c>
      <c r="K155" s="2">
        <v>56.016199999999998</v>
      </c>
      <c r="L155">
        <f t="shared" si="17"/>
        <v>2.973605938388113E-2</v>
      </c>
    </row>
    <row r="156" spans="2:12" x14ac:dyDescent="0.35">
      <c r="B156">
        <f t="shared" si="12"/>
        <v>1.087710666750684</v>
      </c>
      <c r="C156" s="2">
        <v>575.36779999999999</v>
      </c>
      <c r="D156">
        <f t="shared" si="15"/>
        <v>-3.452250956231806E-4</v>
      </c>
      <c r="F156">
        <f t="shared" si="13"/>
        <v>1.1229831392914746</v>
      </c>
      <c r="G156" s="2">
        <v>131.13999999999999</v>
      </c>
      <c r="H156">
        <f t="shared" si="16"/>
        <v>-6.665656718679136E-3</v>
      </c>
      <c r="J156">
        <f t="shared" si="14"/>
        <v>1.2463093468192321</v>
      </c>
      <c r="K156" s="2">
        <v>54.398600000000002</v>
      </c>
      <c r="L156">
        <f t="shared" si="17"/>
        <v>-1.9905663665834572E-3</v>
      </c>
    </row>
    <row r="157" spans="2:12" x14ac:dyDescent="0.35">
      <c r="B157">
        <f t="shared" si="12"/>
        <v>1.0880558918463072</v>
      </c>
      <c r="C157" s="2">
        <v>575.56650000000002</v>
      </c>
      <c r="D157">
        <f t="shared" si="15"/>
        <v>2.1625405149876542E-3</v>
      </c>
      <c r="F157">
        <f t="shared" si="13"/>
        <v>1.1296487960101538</v>
      </c>
      <c r="G157" s="2">
        <v>132.02000000000001</v>
      </c>
      <c r="H157">
        <f t="shared" si="16"/>
        <v>1.6476747767169897E-2</v>
      </c>
      <c r="J157">
        <f t="shared" si="14"/>
        <v>1.2482999131858157</v>
      </c>
      <c r="K157" s="2">
        <v>54.507100000000001</v>
      </c>
      <c r="L157">
        <f t="shared" si="17"/>
        <v>4.7280583071893645E-3</v>
      </c>
    </row>
    <row r="158" spans="2:12" x14ac:dyDescent="0.35">
      <c r="B158">
        <f t="shared" si="12"/>
        <v>1.0858933513313196</v>
      </c>
      <c r="C158" s="2">
        <v>574.32449999999994</v>
      </c>
      <c r="D158">
        <f t="shared" si="15"/>
        <v>-9.1373548253196324E-3</v>
      </c>
      <c r="F158">
        <f t="shared" si="13"/>
        <v>1.1131720482429839</v>
      </c>
      <c r="G158" s="2">
        <v>129.88</v>
      </c>
      <c r="H158">
        <f t="shared" si="16"/>
        <v>1.1368945647095563E-2</v>
      </c>
      <c r="J158">
        <f t="shared" si="14"/>
        <v>1.2435718548786263</v>
      </c>
      <c r="K158" s="2">
        <v>54.250599999999999</v>
      </c>
      <c r="L158">
        <f t="shared" si="17"/>
        <v>-1.2035730220445573E-2</v>
      </c>
    </row>
    <row r="159" spans="2:12" x14ac:dyDescent="0.35">
      <c r="B159">
        <f t="shared" si="12"/>
        <v>1.0950307061566393</v>
      </c>
      <c r="C159" s="2">
        <v>579.62070000000006</v>
      </c>
      <c r="D159">
        <f t="shared" si="15"/>
        <v>-5.3109977140286535E-4</v>
      </c>
      <c r="F159">
        <f t="shared" si="13"/>
        <v>1.1018031025958883</v>
      </c>
      <c r="G159" s="2">
        <v>128.41999999999999</v>
      </c>
      <c r="H159">
        <f t="shared" si="16"/>
        <v>8.7188751865523439E-3</v>
      </c>
      <c r="J159">
        <f t="shared" si="14"/>
        <v>1.255607585099072</v>
      </c>
      <c r="K159" s="2">
        <v>54.911499999999997</v>
      </c>
      <c r="L159">
        <f t="shared" si="17"/>
        <v>-2.5086467476602703E-3</v>
      </c>
    </row>
    <row r="160" spans="2:12" x14ac:dyDescent="0.35">
      <c r="B160">
        <f t="shared" si="12"/>
        <v>1.0955618059280421</v>
      </c>
      <c r="C160" s="2">
        <v>579.92870000000005</v>
      </c>
      <c r="D160">
        <f t="shared" si="15"/>
        <v>-1.6421562635892117E-3</v>
      </c>
      <c r="F160">
        <f t="shared" si="13"/>
        <v>1.093084227409336</v>
      </c>
      <c r="G160" s="2">
        <v>127.31</v>
      </c>
      <c r="H160">
        <f t="shared" si="16"/>
        <v>1.8098835379289913E-3</v>
      </c>
      <c r="J160">
        <f t="shared" si="14"/>
        <v>1.2581162318467323</v>
      </c>
      <c r="K160" s="2">
        <v>55.049599999999998</v>
      </c>
      <c r="L160">
        <f t="shared" si="17"/>
        <v>-1.0811966656663952E-2</v>
      </c>
    </row>
    <row r="161" spans="2:12" x14ac:dyDescent="0.35">
      <c r="B161">
        <f t="shared" si="12"/>
        <v>1.0972039621916312</v>
      </c>
      <c r="C161" s="2">
        <v>580.88260000000002</v>
      </c>
      <c r="D161">
        <f t="shared" si="15"/>
        <v>3.8464941568128186E-3</v>
      </c>
      <c r="F161">
        <f t="shared" si="13"/>
        <v>1.091274343871407</v>
      </c>
      <c r="G161" s="2">
        <v>127.08</v>
      </c>
      <c r="H161">
        <f t="shared" si="16"/>
        <v>2.2776659959758527E-2</v>
      </c>
      <c r="J161">
        <f t="shared" si="14"/>
        <v>1.2689281985033962</v>
      </c>
      <c r="K161" s="2">
        <v>55.651299999999999</v>
      </c>
      <c r="L161">
        <f t="shared" si="17"/>
        <v>-4.9385364981450186E-3</v>
      </c>
    </row>
    <row r="162" spans="2:12" x14ac:dyDescent="0.35">
      <c r="B162">
        <f t="shared" si="12"/>
        <v>1.0933574680348184</v>
      </c>
      <c r="C162" s="2">
        <v>578.65679999999998</v>
      </c>
      <c r="D162">
        <f t="shared" si="15"/>
        <v>8.5895938712221565E-5</v>
      </c>
      <c r="F162">
        <f t="shared" si="13"/>
        <v>1.0684976839116485</v>
      </c>
      <c r="G162" s="2">
        <v>124.25</v>
      </c>
      <c r="H162">
        <f t="shared" si="16"/>
        <v>-1.3262388818297333E-2</v>
      </c>
      <c r="J162">
        <f t="shared" si="14"/>
        <v>1.2738667350015414</v>
      </c>
      <c r="K162" s="2">
        <v>55.927500000000002</v>
      </c>
      <c r="L162">
        <f t="shared" si="17"/>
        <v>3.1856559383964811E-3</v>
      </c>
    </row>
    <row r="163" spans="2:12" x14ac:dyDescent="0.35">
      <c r="B163">
        <f t="shared" si="12"/>
        <v>1.0932715720961061</v>
      </c>
      <c r="C163" s="2">
        <v>578.60709999999995</v>
      </c>
      <c r="D163">
        <f t="shared" si="15"/>
        <v>4.3464442388869706E-3</v>
      </c>
      <c r="F163">
        <f t="shared" si="13"/>
        <v>1.0817600727299457</v>
      </c>
      <c r="G163" s="2">
        <v>125.92</v>
      </c>
      <c r="H163">
        <f t="shared" si="16"/>
        <v>1.7699830275600181E-2</v>
      </c>
      <c r="J163">
        <f t="shared" si="14"/>
        <v>1.2706810790631449</v>
      </c>
      <c r="K163" s="2">
        <v>55.749899999999997</v>
      </c>
      <c r="L163">
        <f t="shared" si="17"/>
        <v>6.0611940894796712E-2</v>
      </c>
    </row>
    <row r="164" spans="2:12" x14ac:dyDescent="0.35">
      <c r="B164">
        <f t="shared" si="12"/>
        <v>1.0889251278572192</v>
      </c>
      <c r="C164" s="2">
        <v>576.10310000000004</v>
      </c>
      <c r="D164">
        <f t="shared" si="15"/>
        <v>-7.7697018485419767E-3</v>
      </c>
      <c r="F164">
        <f t="shared" si="13"/>
        <v>1.0640602424543455</v>
      </c>
      <c r="G164" s="2">
        <v>123.73</v>
      </c>
      <c r="H164">
        <f t="shared" si="16"/>
        <v>-5.1459355149955366E-3</v>
      </c>
      <c r="J164">
        <f t="shared" si="14"/>
        <v>1.2100691381683482</v>
      </c>
      <c r="K164" s="2">
        <v>52.563899999999997</v>
      </c>
      <c r="L164">
        <f t="shared" si="17"/>
        <v>-7.4511173843671008E-3</v>
      </c>
    </row>
    <row r="165" spans="2:12" x14ac:dyDescent="0.35">
      <c r="B165">
        <f t="shared" si="12"/>
        <v>1.096694829705761</v>
      </c>
      <c r="C165" s="2">
        <v>580.61429999999996</v>
      </c>
      <c r="D165">
        <f t="shared" si="15"/>
        <v>8.1782670873844499E-3</v>
      </c>
      <c r="F165">
        <f t="shared" si="13"/>
        <v>1.0692061779693409</v>
      </c>
      <c r="G165" s="2">
        <v>124.37</v>
      </c>
      <c r="H165">
        <f t="shared" si="16"/>
        <v>-1.1244076780981827E-3</v>
      </c>
      <c r="J165">
        <f t="shared" si="14"/>
        <v>1.2175202555527154</v>
      </c>
      <c r="K165" s="2">
        <v>52.958500000000001</v>
      </c>
      <c r="L165">
        <f t="shared" si="17"/>
        <v>1.0161027585654292E-2</v>
      </c>
    </row>
    <row r="166" spans="2:12" x14ac:dyDescent="0.35">
      <c r="B166">
        <f t="shared" si="12"/>
        <v>1.0885165626183766</v>
      </c>
      <c r="C166" s="2">
        <v>575.90440000000001</v>
      </c>
      <c r="D166">
        <f t="shared" si="15"/>
        <v>5.9881954938569848E-3</v>
      </c>
      <c r="F166">
        <f t="shared" si="13"/>
        <v>1.0703305856474392</v>
      </c>
      <c r="G166" s="2">
        <v>124.51</v>
      </c>
      <c r="H166">
        <f t="shared" si="16"/>
        <v>1.7155461155134555E-2</v>
      </c>
      <c r="J166">
        <f t="shared" si="14"/>
        <v>1.2073592279670611</v>
      </c>
      <c r="K166" s="2">
        <v>52.425800000000002</v>
      </c>
      <c r="L166">
        <f t="shared" si="17"/>
        <v>3.0437995801655848E-2</v>
      </c>
    </row>
    <row r="167" spans="2:12" x14ac:dyDescent="0.35">
      <c r="B167">
        <f t="shared" si="12"/>
        <v>1.0825283671245196</v>
      </c>
      <c r="C167" s="2">
        <v>572.47630000000004</v>
      </c>
      <c r="D167">
        <f t="shared" si="15"/>
        <v>-1.7498436736567147E-3</v>
      </c>
      <c r="F167">
        <f t="shared" si="13"/>
        <v>1.0531751244923047</v>
      </c>
      <c r="G167" s="2">
        <v>122.41</v>
      </c>
      <c r="H167">
        <f t="shared" si="16"/>
        <v>3.7460801762861262E-2</v>
      </c>
      <c r="J167">
        <f t="shared" si="14"/>
        <v>1.1769212321654052</v>
      </c>
      <c r="K167" s="2">
        <v>50.877200000000002</v>
      </c>
      <c r="L167">
        <f t="shared" si="17"/>
        <v>-8.0773617460981884E-3</v>
      </c>
    </row>
    <row r="168" spans="2:12" x14ac:dyDescent="0.35">
      <c r="B168">
        <f t="shared" si="12"/>
        <v>1.0842782107981763</v>
      </c>
      <c r="C168" s="2">
        <v>573.47979999999995</v>
      </c>
      <c r="D168">
        <f t="shared" si="15"/>
        <v>6.926352199601471E-3</v>
      </c>
      <c r="F168">
        <f t="shared" si="13"/>
        <v>1.0157143227294434</v>
      </c>
      <c r="G168" s="2">
        <v>117.99</v>
      </c>
      <c r="H168">
        <f t="shared" si="16"/>
        <v>-1.4450384229869773E-2</v>
      </c>
      <c r="J168">
        <f t="shared" si="14"/>
        <v>1.1849985939115035</v>
      </c>
      <c r="K168" s="2">
        <v>51.291499999999999</v>
      </c>
      <c r="L168">
        <f t="shared" si="17"/>
        <v>1.5824132296875737E-2</v>
      </c>
    </row>
    <row r="169" spans="2:12" x14ac:dyDescent="0.35">
      <c r="B169">
        <f t="shared" si="12"/>
        <v>1.0773518585985749</v>
      </c>
      <c r="C169" s="2">
        <v>569.53499999999997</v>
      </c>
      <c r="D169">
        <f t="shared" si="15"/>
        <v>9.4574769793145386E-3</v>
      </c>
      <c r="F169">
        <f t="shared" si="13"/>
        <v>1.0301647069593132</v>
      </c>
      <c r="G169" s="2">
        <v>119.72</v>
      </c>
      <c r="H169">
        <f t="shared" si="16"/>
        <v>1.6385092113082589E-2</v>
      </c>
      <c r="J169">
        <f t="shared" si="14"/>
        <v>1.1691744616146278</v>
      </c>
      <c r="K169" s="2">
        <v>50.4925</v>
      </c>
      <c r="L169">
        <f t="shared" si="17"/>
        <v>-7.3701427633415806E-3</v>
      </c>
    </row>
    <row r="170" spans="2:12" x14ac:dyDescent="0.35">
      <c r="B170">
        <f t="shared" si="12"/>
        <v>1.0678943816192603</v>
      </c>
      <c r="C170" s="2">
        <v>564.19910000000004</v>
      </c>
      <c r="D170">
        <f t="shared" si="15"/>
        <v>-9.0403694623761854E-3</v>
      </c>
      <c r="F170">
        <f t="shared" si="13"/>
        <v>1.0137796148462306</v>
      </c>
      <c r="G170" s="2">
        <v>117.79</v>
      </c>
      <c r="H170">
        <f t="shared" si="16"/>
        <v>-2.1677740863787376E-2</v>
      </c>
      <c r="J170">
        <f t="shared" si="14"/>
        <v>1.1765446043779695</v>
      </c>
      <c r="K170" s="2">
        <v>50.867400000000004</v>
      </c>
      <c r="L170">
        <f t="shared" si="17"/>
        <v>-5.5910262074465589E-3</v>
      </c>
    </row>
    <row r="171" spans="2:12" x14ac:dyDescent="0.35">
      <c r="B171">
        <f t="shared" si="12"/>
        <v>1.0769347510816365</v>
      </c>
      <c r="C171" s="2">
        <v>569.34619999999995</v>
      </c>
      <c r="D171">
        <f t="shared" si="15"/>
        <v>9.087251581389344E-3</v>
      </c>
      <c r="F171">
        <f t="shared" si="13"/>
        <v>1.035457355710018</v>
      </c>
      <c r="G171" s="2">
        <v>120.4</v>
      </c>
      <c r="H171">
        <f t="shared" si="16"/>
        <v>1.3809363422027543E-2</v>
      </c>
      <c r="J171">
        <f t="shared" si="14"/>
        <v>1.182135630585416</v>
      </c>
      <c r="K171" s="2">
        <v>51.153399999999998</v>
      </c>
      <c r="L171">
        <f t="shared" si="17"/>
        <v>4.6407063136189475E-2</v>
      </c>
    </row>
    <row r="172" spans="2:12" x14ac:dyDescent="0.35">
      <c r="B172">
        <f t="shared" si="12"/>
        <v>1.0678474995002472</v>
      </c>
      <c r="C172" s="2">
        <v>564.21900000000005</v>
      </c>
      <c r="D172">
        <f t="shared" si="15"/>
        <v>-1.8282098404180935E-3</v>
      </c>
      <c r="F172">
        <f t="shared" si="13"/>
        <v>1.0216479922879904</v>
      </c>
      <c r="G172" s="2">
        <v>118.76</v>
      </c>
      <c r="H172">
        <f t="shared" si="16"/>
        <v>-3.0688867123734864E-2</v>
      </c>
      <c r="J172">
        <f t="shared" si="14"/>
        <v>1.1357285674492266</v>
      </c>
      <c r="K172" s="2">
        <v>48.884799999999998</v>
      </c>
      <c r="L172">
        <f t="shared" si="17"/>
        <v>-4.0282591581553007E-4</v>
      </c>
    </row>
    <row r="173" spans="2:12" x14ac:dyDescent="0.35">
      <c r="B173">
        <f t="shared" si="12"/>
        <v>1.0696757093406652</v>
      </c>
      <c r="C173" s="2">
        <v>565.25239999999997</v>
      </c>
      <c r="D173">
        <f t="shared" si="15"/>
        <v>4.2211350906584677E-4</v>
      </c>
      <c r="F173">
        <f t="shared" si="13"/>
        <v>1.0523368594117253</v>
      </c>
      <c r="G173" s="2">
        <v>122.52</v>
      </c>
      <c r="H173">
        <f t="shared" si="16"/>
        <v>1.5531758358537928E-3</v>
      </c>
      <c r="J173">
        <f t="shared" si="14"/>
        <v>1.1361313933650421</v>
      </c>
      <c r="K173" s="2">
        <v>48.904499999999999</v>
      </c>
      <c r="L173">
        <f t="shared" si="17"/>
        <v>1.1631659295605168E-2</v>
      </c>
    </row>
    <row r="174" spans="2:12" x14ac:dyDescent="0.35">
      <c r="B174">
        <f t="shared" si="12"/>
        <v>1.0692535958315994</v>
      </c>
      <c r="C174" s="2">
        <v>565.01390000000004</v>
      </c>
      <c r="D174">
        <f t="shared" si="15"/>
        <v>-8.9584444573461708E-3</v>
      </c>
      <c r="F174">
        <f t="shared" si="13"/>
        <v>1.0507836835758715</v>
      </c>
      <c r="G174" s="2">
        <v>122.33</v>
      </c>
      <c r="H174">
        <f t="shared" si="16"/>
        <v>-2.0498038273680907E-2</v>
      </c>
      <c r="J174">
        <f t="shared" si="14"/>
        <v>1.1244997340694369</v>
      </c>
      <c r="K174" s="2">
        <v>48.342199999999998</v>
      </c>
      <c r="L174">
        <f t="shared" si="17"/>
        <v>-1.744294761831211E-2</v>
      </c>
    </row>
    <row r="175" spans="2:12" x14ac:dyDescent="0.35">
      <c r="B175">
        <f t="shared" si="12"/>
        <v>1.0782120402889455</v>
      </c>
      <c r="C175" s="2">
        <v>570.12130000000002</v>
      </c>
      <c r="D175">
        <f t="shared" si="15"/>
        <v>4.0072498555063785E-3</v>
      </c>
      <c r="F175">
        <f t="shared" si="13"/>
        <v>1.0712817218495523</v>
      </c>
      <c r="G175" s="2">
        <v>124.89</v>
      </c>
      <c r="H175">
        <f t="shared" si="16"/>
        <v>2.8908696699589953E-3</v>
      </c>
      <c r="J175">
        <f t="shared" si="14"/>
        <v>1.1419426816877492</v>
      </c>
      <c r="K175" s="2">
        <v>49.200400000000002</v>
      </c>
      <c r="L175">
        <f t="shared" si="17"/>
        <v>4.6331179107068632E-3</v>
      </c>
    </row>
    <row r="176" spans="2:12" x14ac:dyDescent="0.35">
      <c r="B176">
        <f t="shared" si="12"/>
        <v>1.0742047904334391</v>
      </c>
      <c r="C176" s="2">
        <v>567.84580000000005</v>
      </c>
      <c r="D176">
        <f t="shared" si="15"/>
        <v>-1.4502246907478478E-3</v>
      </c>
      <c r="F176">
        <f t="shared" si="13"/>
        <v>1.0683908521795933</v>
      </c>
      <c r="G176" s="2">
        <v>124.53</v>
      </c>
      <c r="H176">
        <f t="shared" si="16"/>
        <v>-2.4831784684395952E-3</v>
      </c>
      <c r="J176">
        <f t="shared" si="14"/>
        <v>1.1373095637770423</v>
      </c>
      <c r="K176" s="2">
        <v>48.973500000000001</v>
      </c>
      <c r="L176">
        <f t="shared" si="17"/>
        <v>1.2439065736648214E-2</v>
      </c>
    </row>
    <row r="177" spans="2:12" x14ac:dyDescent="0.35">
      <c r="B177">
        <f t="shared" si="12"/>
        <v>1.075655015124187</v>
      </c>
      <c r="C177" s="2">
        <v>568.67049999999995</v>
      </c>
      <c r="D177">
        <f t="shared" si="15"/>
        <v>3.9645149780667133E-3</v>
      </c>
      <c r="F177">
        <f t="shared" si="13"/>
        <v>1.0708740306480329</v>
      </c>
      <c r="G177" s="2">
        <v>124.84</v>
      </c>
      <c r="H177">
        <f t="shared" si="16"/>
        <v>1.765366714812977E-3</v>
      </c>
      <c r="J177">
        <f t="shared" si="14"/>
        <v>1.1248704980403941</v>
      </c>
      <c r="K177" s="2">
        <v>48.3718</v>
      </c>
      <c r="L177">
        <f t="shared" si="17"/>
        <v>1.7426219887975769E-2</v>
      </c>
    </row>
    <row r="178" spans="2:12" x14ac:dyDescent="0.35">
      <c r="B178">
        <f t="shared" si="12"/>
        <v>1.0716905001461203</v>
      </c>
      <c r="C178" s="2">
        <v>566.42489999999998</v>
      </c>
      <c r="D178">
        <f t="shared" si="15"/>
        <v>-2.2054799129576086E-3</v>
      </c>
      <c r="F178">
        <f t="shared" si="13"/>
        <v>1.0691086639332199</v>
      </c>
      <c r="G178" s="2">
        <v>124.62</v>
      </c>
      <c r="H178">
        <f t="shared" si="16"/>
        <v>-6.9328233325364197E-3</v>
      </c>
      <c r="J178">
        <f t="shared" si="14"/>
        <v>1.1074442781524183</v>
      </c>
      <c r="K178" s="2">
        <v>47.543300000000002</v>
      </c>
      <c r="L178">
        <f t="shared" si="17"/>
        <v>-2.0608540768107808E-4</v>
      </c>
    </row>
    <row r="179" spans="2:12" x14ac:dyDescent="0.35">
      <c r="B179">
        <f t="shared" si="12"/>
        <v>1.0738959800590779</v>
      </c>
      <c r="C179" s="2">
        <v>567.67690000000005</v>
      </c>
      <c r="D179">
        <f t="shared" si="15"/>
        <v>2.8613716069685324E-3</v>
      </c>
      <c r="F179">
        <f t="shared" si="13"/>
        <v>1.0760414872657564</v>
      </c>
      <c r="G179" s="2">
        <v>125.49</v>
      </c>
      <c r="H179">
        <f t="shared" si="16"/>
        <v>5.6094238320376633E-3</v>
      </c>
      <c r="J179">
        <f t="shared" si="14"/>
        <v>1.1076503635600994</v>
      </c>
      <c r="K179" s="2">
        <v>47.553100000000001</v>
      </c>
      <c r="L179">
        <f t="shared" si="17"/>
        <v>-2.9979927707107668E-2</v>
      </c>
    </row>
    <row r="180" spans="2:12" x14ac:dyDescent="0.35">
      <c r="B180">
        <f t="shared" si="12"/>
        <v>1.0710346084521094</v>
      </c>
      <c r="C180" s="2">
        <v>566.05719999999997</v>
      </c>
      <c r="D180">
        <f t="shared" si="15"/>
        <v>2.4989099368772916E-3</v>
      </c>
      <c r="F180">
        <f t="shared" si="13"/>
        <v>1.0704320634337188</v>
      </c>
      <c r="G180" s="2">
        <v>124.79</v>
      </c>
      <c r="H180">
        <f t="shared" si="16"/>
        <v>-1.9023661661818903E-2</v>
      </c>
      <c r="J180">
        <f t="shared" si="14"/>
        <v>1.1376302912672069</v>
      </c>
      <c r="K180" s="2">
        <v>49.022799999999997</v>
      </c>
      <c r="L180">
        <f t="shared" si="17"/>
        <v>-1.7399966727399296E-2</v>
      </c>
    </row>
    <row r="181" spans="2:12" x14ac:dyDescent="0.35">
      <c r="B181">
        <f t="shared" si="12"/>
        <v>1.0685356985152321</v>
      </c>
      <c r="C181" s="2">
        <v>564.64620000000002</v>
      </c>
      <c r="D181">
        <f t="shared" si="15"/>
        <v>-1.7294161991597834E-3</v>
      </c>
      <c r="F181">
        <f t="shared" si="13"/>
        <v>1.0894557250955377</v>
      </c>
      <c r="G181" s="2">
        <v>127.21</v>
      </c>
      <c r="H181">
        <f t="shared" si="16"/>
        <v>8.6546026750600191E-4</v>
      </c>
      <c r="J181">
        <f t="shared" si="14"/>
        <v>1.1550302579946061</v>
      </c>
      <c r="K181" s="2">
        <v>49.890900000000002</v>
      </c>
      <c r="L181">
        <f t="shared" si="17"/>
        <v>-8.8169791416258247E-3</v>
      </c>
    </row>
    <row r="182" spans="2:12" x14ac:dyDescent="0.35">
      <c r="B182">
        <f t="shared" si="12"/>
        <v>1.070265114714392</v>
      </c>
      <c r="C182" s="2">
        <v>565.62440000000004</v>
      </c>
      <c r="D182">
        <f t="shared" si="15"/>
        <v>1.7064403328476585E-2</v>
      </c>
      <c r="F182">
        <f t="shared" si="13"/>
        <v>1.0885902648280317</v>
      </c>
      <c r="G182" s="2">
        <v>127.1</v>
      </c>
      <c r="H182">
        <f t="shared" si="16"/>
        <v>1.6718662506999271E-2</v>
      </c>
      <c r="J182">
        <f t="shared" si="14"/>
        <v>1.1638472371362318</v>
      </c>
      <c r="K182" s="2">
        <v>50.334699999999998</v>
      </c>
      <c r="L182">
        <f t="shared" si="17"/>
        <v>4.3770827328357909E-2</v>
      </c>
    </row>
    <row r="183" spans="2:12" x14ac:dyDescent="0.35">
      <c r="B183">
        <f t="shared" si="12"/>
        <v>1.0532007113859154</v>
      </c>
      <c r="C183" s="2">
        <v>556.13430000000005</v>
      </c>
      <c r="D183">
        <f t="shared" si="15"/>
        <v>-2.9658189500465504E-3</v>
      </c>
      <c r="F183">
        <f t="shared" si="13"/>
        <v>1.0718716023210324</v>
      </c>
      <c r="G183" s="2">
        <v>125.01</v>
      </c>
      <c r="H183">
        <f t="shared" si="16"/>
        <v>-5.4101360490094175E-3</v>
      </c>
      <c r="J183">
        <f t="shared" si="14"/>
        <v>1.1200764098078739</v>
      </c>
      <c r="K183" s="2">
        <v>48.2239</v>
      </c>
      <c r="L183">
        <f t="shared" si="17"/>
        <v>-6.0985412141022488E-3</v>
      </c>
    </row>
    <row r="184" spans="2:12" x14ac:dyDescent="0.35">
      <c r="B184">
        <f t="shared" si="12"/>
        <v>1.056166530335962</v>
      </c>
      <c r="C184" s="2">
        <v>557.78859999999997</v>
      </c>
      <c r="D184">
        <f t="shared" si="15"/>
        <v>4.085653080345697E-4</v>
      </c>
      <c r="F184">
        <f t="shared" si="13"/>
        <v>1.0772817383700417</v>
      </c>
      <c r="G184" s="2">
        <v>125.69</v>
      </c>
      <c r="H184">
        <f t="shared" si="16"/>
        <v>1.0938631062495041E-2</v>
      </c>
      <c r="J184">
        <f t="shared" si="14"/>
        <v>1.1261749510219761</v>
      </c>
      <c r="K184" s="2">
        <v>48.519799999999996</v>
      </c>
      <c r="L184">
        <f t="shared" si="17"/>
        <v>3.9299476706700753E-2</v>
      </c>
    </row>
    <row r="185" spans="2:12" x14ac:dyDescent="0.35">
      <c r="B185">
        <f t="shared" si="12"/>
        <v>1.0557579650279274</v>
      </c>
      <c r="C185" s="2">
        <v>557.56079999999997</v>
      </c>
      <c r="D185">
        <f t="shared" si="15"/>
        <v>1.4768151516706407E-3</v>
      </c>
      <c r="F185">
        <f t="shared" si="13"/>
        <v>1.0663431073075467</v>
      </c>
      <c r="G185" s="2">
        <v>124.33</v>
      </c>
      <c r="H185">
        <f t="shared" si="16"/>
        <v>-2.5671881267549379E-3</v>
      </c>
      <c r="J185">
        <f t="shared" si="14"/>
        <v>1.0868754743152753</v>
      </c>
      <c r="K185" s="2">
        <v>46.685099999999998</v>
      </c>
      <c r="L185">
        <f t="shared" si="17"/>
        <v>4.2419640379538492E-3</v>
      </c>
    </row>
    <row r="186" spans="2:12" x14ac:dyDescent="0.35">
      <c r="B186">
        <f t="shared" si="12"/>
        <v>1.0542811498762568</v>
      </c>
      <c r="C186" s="2">
        <v>556.73860000000002</v>
      </c>
      <c r="D186">
        <f t="shared" si="15"/>
        <v>5.2227514507643402E-3</v>
      </c>
      <c r="F186">
        <f t="shared" si="13"/>
        <v>1.0689102954343017</v>
      </c>
      <c r="G186" s="2">
        <v>124.65</v>
      </c>
      <c r="H186">
        <f t="shared" si="16"/>
        <v>-5.5050263283867862E-3</v>
      </c>
      <c r="J186">
        <f t="shared" si="14"/>
        <v>1.0826335102773215</v>
      </c>
      <c r="K186" s="2">
        <v>46.487900000000003</v>
      </c>
      <c r="L186">
        <f t="shared" si="17"/>
        <v>1.5514104028817588E-2</v>
      </c>
    </row>
    <row r="187" spans="2:12" x14ac:dyDescent="0.35">
      <c r="B187">
        <f t="shared" si="12"/>
        <v>1.0490583984254924</v>
      </c>
      <c r="C187" s="2">
        <v>553.846</v>
      </c>
      <c r="D187">
        <f t="shared" si="15"/>
        <v>8.4232214497730329E-3</v>
      </c>
      <c r="F187">
        <f t="shared" si="13"/>
        <v>1.0744153217626884</v>
      </c>
      <c r="G187" s="2">
        <v>125.34</v>
      </c>
      <c r="H187">
        <f t="shared" si="16"/>
        <v>-2.3755744216839236E-2</v>
      </c>
      <c r="J187">
        <f t="shared" si="14"/>
        <v>1.0671194062485039</v>
      </c>
      <c r="K187" s="2">
        <v>45.777700000000003</v>
      </c>
      <c r="L187">
        <f t="shared" si="17"/>
        <v>1.243602843279068E-2</v>
      </c>
    </row>
    <row r="188" spans="2:12" x14ac:dyDescent="0.35">
      <c r="B188">
        <f t="shared" si="12"/>
        <v>1.0406351769757194</v>
      </c>
      <c r="C188" s="2">
        <v>549.21979999999996</v>
      </c>
      <c r="D188">
        <f t="shared" si="15"/>
        <v>1.0258945858915292E-2</v>
      </c>
      <c r="F188">
        <f t="shared" si="13"/>
        <v>1.0981710659795276</v>
      </c>
      <c r="G188" s="2">
        <v>128.38999999999999</v>
      </c>
      <c r="H188">
        <f t="shared" si="16"/>
        <v>1.1422719394989622E-2</v>
      </c>
      <c r="J188">
        <f t="shared" si="14"/>
        <v>1.0546833778157132</v>
      </c>
      <c r="K188" s="2">
        <v>45.215400000000002</v>
      </c>
      <c r="L188">
        <f t="shared" si="17"/>
        <v>-6.717749092730374E-3</v>
      </c>
    </row>
    <row r="189" spans="2:12" x14ac:dyDescent="0.35">
      <c r="B189">
        <f t="shared" si="12"/>
        <v>1.0303762311168041</v>
      </c>
      <c r="C189" s="2">
        <v>543.64260000000002</v>
      </c>
      <c r="D189">
        <f t="shared" si="15"/>
        <v>4.3557468534591859E-3</v>
      </c>
      <c r="F189">
        <f t="shared" si="13"/>
        <v>1.086748346584538</v>
      </c>
      <c r="G189" s="2">
        <v>126.94</v>
      </c>
      <c r="H189">
        <f t="shared" si="16"/>
        <v>-5.8736001253034686E-3</v>
      </c>
      <c r="J189">
        <f t="shared" si="14"/>
        <v>1.0614011269084436</v>
      </c>
      <c r="K189" s="2">
        <v>45.5212</v>
      </c>
      <c r="L189">
        <f t="shared" si="17"/>
        <v>-4.1935273405354634E-2</v>
      </c>
    </row>
    <row r="190" spans="2:12" x14ac:dyDescent="0.35">
      <c r="B190">
        <f t="shared" si="12"/>
        <v>1.0260204842633449</v>
      </c>
      <c r="C190" s="2">
        <v>541.28489999999999</v>
      </c>
      <c r="D190">
        <f t="shared" si="15"/>
        <v>1.1196138479262707E-2</v>
      </c>
      <c r="F190">
        <f t="shared" si="13"/>
        <v>1.0926219467098415</v>
      </c>
      <c r="G190" s="2">
        <v>127.69</v>
      </c>
      <c r="H190">
        <f t="shared" si="16"/>
        <v>-9.5408004964318005E-3</v>
      </c>
      <c r="J190">
        <f t="shared" si="14"/>
        <v>1.1033364003137982</v>
      </c>
      <c r="K190" s="2">
        <v>47.5137</v>
      </c>
      <c r="L190">
        <f t="shared" si="17"/>
        <v>1.6031562740569605E-2</v>
      </c>
    </row>
    <row r="191" spans="2:12" x14ac:dyDescent="0.35">
      <c r="B191">
        <f t="shared" si="12"/>
        <v>1.0148243457840822</v>
      </c>
      <c r="C191" s="2">
        <v>535.29169999999999</v>
      </c>
      <c r="D191">
        <f t="shared" si="15"/>
        <v>-1.6830044141397105E-2</v>
      </c>
      <c r="F191">
        <f t="shared" si="13"/>
        <v>1.1021627472062734</v>
      </c>
      <c r="G191" s="2">
        <v>128.91999999999999</v>
      </c>
      <c r="H191">
        <f t="shared" si="16"/>
        <v>-3.6256260746056812E-2</v>
      </c>
      <c r="J191">
        <f t="shared" si="14"/>
        <v>1.0873048375732286</v>
      </c>
      <c r="K191" s="2">
        <v>46.764000000000003</v>
      </c>
      <c r="L191">
        <f t="shared" si="17"/>
        <v>-2.5890028308430679E-2</v>
      </c>
    </row>
    <row r="192" spans="2:12" x14ac:dyDescent="0.35">
      <c r="B192">
        <f t="shared" si="12"/>
        <v>1.0316543899254793</v>
      </c>
      <c r="C192" s="2">
        <v>544.45489999999995</v>
      </c>
      <c r="D192">
        <f t="shared" si="15"/>
        <v>-2.4321052551539157E-3</v>
      </c>
      <c r="F192">
        <f t="shared" si="13"/>
        <v>1.1384190079523302</v>
      </c>
      <c r="G192" s="2">
        <v>133.77000000000001</v>
      </c>
      <c r="H192">
        <f t="shared" si="16"/>
        <v>-7.5673269530379672E-3</v>
      </c>
      <c r="J192">
        <f t="shared" si="14"/>
        <v>1.1131948658816593</v>
      </c>
      <c r="K192" s="2">
        <v>48.006900000000002</v>
      </c>
      <c r="L192">
        <f t="shared" si="17"/>
        <v>-1.0570942172061559E-2</v>
      </c>
    </row>
    <row r="193" spans="2:12" x14ac:dyDescent="0.35">
      <c r="B193">
        <f t="shared" si="12"/>
        <v>1.0340864951806332</v>
      </c>
      <c r="C193" s="2">
        <v>545.78229999999996</v>
      </c>
      <c r="D193">
        <f t="shared" si="15"/>
        <v>-2.0468029263760457E-3</v>
      </c>
      <c r="F193">
        <f t="shared" si="13"/>
        <v>1.1459863349053681</v>
      </c>
      <c r="G193" s="2">
        <v>134.79</v>
      </c>
      <c r="H193">
        <f t="shared" si="16"/>
        <v>-2.2945965951147729E-3</v>
      </c>
      <c r="J193">
        <f t="shared" si="14"/>
        <v>1.1237658080537209</v>
      </c>
      <c r="K193" s="2">
        <v>48.519799999999996</v>
      </c>
      <c r="L193">
        <f t="shared" si="17"/>
        <v>-2.2312110437751054E-3</v>
      </c>
    </row>
    <row r="194" spans="2:12" x14ac:dyDescent="0.35">
      <c r="B194">
        <f t="shared" si="12"/>
        <v>1.0361332981070093</v>
      </c>
      <c r="C194" s="2">
        <v>546.90170000000001</v>
      </c>
      <c r="D194">
        <f t="shared" si="15"/>
        <v>-2.0579058222266133E-2</v>
      </c>
      <c r="F194">
        <f t="shared" si="13"/>
        <v>1.1482809315004827</v>
      </c>
      <c r="G194" s="2">
        <v>135.1</v>
      </c>
      <c r="H194">
        <f t="shared" si="16"/>
        <v>-5.0081013404036367E-3</v>
      </c>
      <c r="J194">
        <f t="shared" si="14"/>
        <v>1.1259970190974959</v>
      </c>
      <c r="K194" s="2">
        <v>48.628300000000003</v>
      </c>
      <c r="L194">
        <f t="shared" si="17"/>
        <v>-1.9100275944423761E-2</v>
      </c>
    </row>
    <row r="195" spans="2:12" x14ac:dyDescent="0.35">
      <c r="B195">
        <f t="shared" si="12"/>
        <v>1.0567123563292753</v>
      </c>
      <c r="C195" s="2">
        <v>558.39290000000005</v>
      </c>
      <c r="D195">
        <f t="shared" si="15"/>
        <v>9.5459715367334219E-3</v>
      </c>
      <c r="F195">
        <f t="shared" si="13"/>
        <v>1.1532890328408862</v>
      </c>
      <c r="G195" s="2">
        <v>135.78</v>
      </c>
      <c r="H195">
        <f t="shared" si="16"/>
        <v>-1.0710382513661187E-2</v>
      </c>
      <c r="J195">
        <f t="shared" si="14"/>
        <v>1.1450972950419198</v>
      </c>
      <c r="K195" s="2">
        <v>49.575200000000002</v>
      </c>
      <c r="L195">
        <f t="shared" si="17"/>
        <v>9.6411944164980223E-3</v>
      </c>
    </row>
    <row r="196" spans="2:12" x14ac:dyDescent="0.35">
      <c r="B196">
        <f t="shared" ref="B196:B249" si="18">B197*1+D196</f>
        <v>1.0471663847925419</v>
      </c>
      <c r="C196" s="2">
        <v>553.11289999999997</v>
      </c>
      <c r="D196">
        <f t="shared" si="15"/>
        <v>8.9501492957166917E-5</v>
      </c>
      <c r="F196">
        <f t="shared" ref="F196:F251" si="19">F197*1+H196</f>
        <v>1.1639994153545474</v>
      </c>
      <c r="G196" s="2">
        <v>137.25</v>
      </c>
      <c r="H196">
        <f t="shared" si="16"/>
        <v>-1.1950183572096984E-2</v>
      </c>
      <c r="J196">
        <f t="shared" ref="J196:J251" si="20">J197*1+L196</f>
        <v>1.1354561006254218</v>
      </c>
      <c r="K196" s="2">
        <v>49.101799999999997</v>
      </c>
      <c r="L196">
        <f t="shared" si="17"/>
        <v>5.251272896266368E-3</v>
      </c>
    </row>
    <row r="197" spans="2:12" x14ac:dyDescent="0.35">
      <c r="B197">
        <f t="shared" si="18"/>
        <v>1.0470768832995847</v>
      </c>
      <c r="C197" s="2">
        <v>553.0634</v>
      </c>
      <c r="D197">
        <f t="shared" ref="D197:D251" si="21">C197/C198-1</f>
        <v>-5.8052162458331891E-3</v>
      </c>
      <c r="F197">
        <f t="shared" si="19"/>
        <v>1.1759495989266444</v>
      </c>
      <c r="G197" s="2">
        <v>138.91</v>
      </c>
      <c r="H197">
        <f t="shared" ref="H197:H251" si="22">G197/G198-1</f>
        <v>-1.2371134020618624E-2</v>
      </c>
      <c r="J197">
        <f t="shared" si="20"/>
        <v>1.1302048277291554</v>
      </c>
      <c r="K197" s="2">
        <v>48.845300000000002</v>
      </c>
      <c r="L197">
        <f t="shared" ref="L197:L251" si="23">K197/K198-1</f>
        <v>1.4545643368989447E-2</v>
      </c>
    </row>
    <row r="198" spans="2:12" x14ac:dyDescent="0.35">
      <c r="B198">
        <f t="shared" si="18"/>
        <v>1.0528820995454178</v>
      </c>
      <c r="C198" s="2">
        <v>556.29280000000006</v>
      </c>
      <c r="D198">
        <f t="shared" si="21"/>
        <v>1.373103162745748E-3</v>
      </c>
      <c r="F198">
        <f t="shared" si="19"/>
        <v>1.1883207329472631</v>
      </c>
      <c r="G198" s="2">
        <v>140.65</v>
      </c>
      <c r="H198">
        <f t="shared" si="22"/>
        <v>2.1375133594585538E-3</v>
      </c>
      <c r="J198">
        <f t="shared" si="20"/>
        <v>1.115659184360166</v>
      </c>
      <c r="K198" s="2">
        <v>48.145000000000003</v>
      </c>
      <c r="L198">
        <f t="shared" si="23"/>
        <v>-1.2281087540089164E-3</v>
      </c>
    </row>
    <row r="199" spans="2:12" x14ac:dyDescent="0.35">
      <c r="B199">
        <f t="shared" si="18"/>
        <v>1.051508996382672</v>
      </c>
      <c r="C199" s="2">
        <v>555.53</v>
      </c>
      <c r="D199">
        <f t="shared" si="21"/>
        <v>-2.3839132991833045E-3</v>
      </c>
      <c r="F199">
        <f t="shared" si="19"/>
        <v>1.1861832195878046</v>
      </c>
      <c r="G199" s="2">
        <v>140.35</v>
      </c>
      <c r="H199">
        <f t="shared" si="22"/>
        <v>-1.4940239043825798E-3</v>
      </c>
      <c r="J199">
        <f t="shared" si="20"/>
        <v>1.1168872931141749</v>
      </c>
      <c r="K199" s="2">
        <v>48.2042</v>
      </c>
      <c r="L199">
        <f t="shared" si="23"/>
        <v>5.5572012065634446E-3</v>
      </c>
    </row>
    <row r="200" spans="2:12" x14ac:dyDescent="0.35">
      <c r="B200">
        <f t="shared" si="18"/>
        <v>1.0538929096818552</v>
      </c>
      <c r="C200" s="2">
        <v>556.85749999999996</v>
      </c>
      <c r="D200">
        <f t="shared" si="21"/>
        <v>1.0625352425549961E-2</v>
      </c>
      <c r="F200">
        <f t="shared" si="19"/>
        <v>1.1876772434921872</v>
      </c>
      <c r="G200" s="2">
        <v>140.56</v>
      </c>
      <c r="H200">
        <f t="shared" si="22"/>
        <v>-6.1514530156261404E-3</v>
      </c>
      <c r="J200">
        <f t="shared" si="20"/>
        <v>1.1113300919076115</v>
      </c>
      <c r="K200" s="2">
        <v>47.937800000000003</v>
      </c>
      <c r="L200">
        <f t="shared" si="23"/>
        <v>2.966047997181942E-2</v>
      </c>
    </row>
    <row r="201" spans="2:12" x14ac:dyDescent="0.35">
      <c r="B201">
        <f t="shared" si="18"/>
        <v>1.0432675572563053</v>
      </c>
      <c r="C201" s="2">
        <v>551.00289999999995</v>
      </c>
      <c r="D201">
        <f t="shared" si="21"/>
        <v>-7.8484000334196891E-3</v>
      </c>
      <c r="F201">
        <f t="shared" si="19"/>
        <v>1.1938286965078133</v>
      </c>
      <c r="G201" s="2">
        <v>141.43</v>
      </c>
      <c r="H201">
        <f t="shared" si="22"/>
        <v>-1.4081561519693198E-2</v>
      </c>
      <c r="J201">
        <f t="shared" si="20"/>
        <v>1.081669611935792</v>
      </c>
      <c r="K201" s="2">
        <v>46.556899999999999</v>
      </c>
      <c r="L201">
        <f t="shared" si="23"/>
        <v>-8.4770497291641878E-4</v>
      </c>
    </row>
    <row r="202" spans="2:12" x14ac:dyDescent="0.35">
      <c r="B202">
        <f t="shared" si="18"/>
        <v>1.0511159572897248</v>
      </c>
      <c r="C202" s="2">
        <v>555.36159999999995</v>
      </c>
      <c r="D202">
        <f t="shared" si="21"/>
        <v>3.4365651982546375E-3</v>
      </c>
      <c r="F202">
        <f t="shared" si="19"/>
        <v>1.2079102580275065</v>
      </c>
      <c r="G202" s="2">
        <v>143.44999999999999</v>
      </c>
      <c r="H202">
        <f t="shared" si="22"/>
        <v>2.1069115239518599E-2</v>
      </c>
      <c r="J202">
        <f t="shared" si="20"/>
        <v>1.0825173169087086</v>
      </c>
      <c r="K202" s="2">
        <v>46.596400000000003</v>
      </c>
      <c r="L202">
        <f t="shared" si="23"/>
        <v>2.7610339135881734E-3</v>
      </c>
    </row>
    <row r="203" spans="2:12" x14ac:dyDescent="0.35">
      <c r="B203">
        <f t="shared" si="18"/>
        <v>1.0476793920914702</v>
      </c>
      <c r="C203" s="2">
        <v>553.45960000000002</v>
      </c>
      <c r="D203">
        <f t="shared" si="21"/>
        <v>-1.6261963546864155E-3</v>
      </c>
      <c r="F203">
        <f t="shared" si="19"/>
        <v>1.1868411427879879</v>
      </c>
      <c r="G203" s="2">
        <v>140.49</v>
      </c>
      <c r="H203">
        <f t="shared" si="22"/>
        <v>2.338286713286708E-2</v>
      </c>
      <c r="J203">
        <f t="shared" si="20"/>
        <v>1.0797562829951204</v>
      </c>
      <c r="K203" s="2">
        <v>46.4681</v>
      </c>
      <c r="L203">
        <f t="shared" si="23"/>
        <v>-1.0919284563366882E-2</v>
      </c>
    </row>
    <row r="204" spans="2:12" x14ac:dyDescent="0.35">
      <c r="B204">
        <f t="shared" si="18"/>
        <v>1.0493055884461566</v>
      </c>
      <c r="C204" s="2">
        <v>554.36109999999996</v>
      </c>
      <c r="D204">
        <f t="shared" si="21"/>
        <v>9.5614582703524853E-3</v>
      </c>
      <c r="F204">
        <f t="shared" si="19"/>
        <v>1.1634582756551208</v>
      </c>
      <c r="G204" s="2">
        <v>137.28</v>
      </c>
      <c r="H204">
        <f t="shared" si="22"/>
        <v>2.8622808332084526E-2</v>
      </c>
      <c r="J204">
        <f t="shared" si="20"/>
        <v>1.0906755675584874</v>
      </c>
      <c r="K204" s="2">
        <v>46.981099999999998</v>
      </c>
      <c r="L204">
        <f t="shared" si="23"/>
        <v>2.1665854804196139E-2</v>
      </c>
    </row>
    <row r="205" spans="2:12" x14ac:dyDescent="0.35">
      <c r="B205">
        <f t="shared" si="18"/>
        <v>1.0397441301758041</v>
      </c>
      <c r="C205" s="2">
        <v>549.11080000000004</v>
      </c>
      <c r="D205">
        <f t="shared" si="21"/>
        <v>2.2420869880106498E-3</v>
      </c>
      <c r="F205">
        <f t="shared" si="19"/>
        <v>1.1348354673230363</v>
      </c>
      <c r="G205" s="2">
        <v>133.46</v>
      </c>
      <c r="H205">
        <f t="shared" si="22"/>
        <v>8.999550022499303E-4</v>
      </c>
      <c r="J205">
        <f t="shared" si="20"/>
        <v>1.0690097127542912</v>
      </c>
      <c r="K205" s="2">
        <v>45.9848</v>
      </c>
      <c r="L205">
        <f t="shared" si="23"/>
        <v>1.5906399674802563E-2</v>
      </c>
    </row>
    <row r="206" spans="2:12" x14ac:dyDescent="0.35">
      <c r="B206">
        <f t="shared" si="18"/>
        <v>1.0375020431877935</v>
      </c>
      <c r="C206" s="2">
        <v>547.88239999999996</v>
      </c>
      <c r="D206">
        <f t="shared" si="21"/>
        <v>1.7140075585273307E-2</v>
      </c>
      <c r="F206">
        <f t="shared" si="19"/>
        <v>1.1339355123207864</v>
      </c>
      <c r="G206" s="2">
        <v>133.34</v>
      </c>
      <c r="H206">
        <f t="shared" si="22"/>
        <v>1.9537120529005136E-3</v>
      </c>
      <c r="J206">
        <f t="shared" si="20"/>
        <v>1.0531033130794887</v>
      </c>
      <c r="K206" s="2">
        <v>45.264800000000001</v>
      </c>
      <c r="L206">
        <f t="shared" si="23"/>
        <v>-9.2823421005976403E-3</v>
      </c>
    </row>
    <row r="207" spans="2:12" x14ac:dyDescent="0.35">
      <c r="B207">
        <f t="shared" si="18"/>
        <v>1.0203619676025202</v>
      </c>
      <c r="C207" s="2">
        <v>538.6499</v>
      </c>
      <c r="D207">
        <f t="shared" si="21"/>
        <v>3.1548214667163066E-3</v>
      </c>
      <c r="F207">
        <f t="shared" si="19"/>
        <v>1.1319818002678859</v>
      </c>
      <c r="G207" s="2">
        <v>133.08000000000001</v>
      </c>
      <c r="H207">
        <f t="shared" si="22"/>
        <v>-2.8472950696837307E-3</v>
      </c>
      <c r="J207">
        <f t="shared" si="20"/>
        <v>1.0623856551800863</v>
      </c>
      <c r="K207" s="2">
        <v>45.688899999999997</v>
      </c>
      <c r="L207">
        <f t="shared" si="23"/>
        <v>1.2680420597205533E-2</v>
      </c>
    </row>
    <row r="208" spans="2:12" x14ac:dyDescent="0.35">
      <c r="B208">
        <f t="shared" si="18"/>
        <v>1.0172071461358039</v>
      </c>
      <c r="C208" s="2">
        <v>536.95590000000004</v>
      </c>
      <c r="D208">
        <f t="shared" si="21"/>
        <v>1.6445623643444929E-2</v>
      </c>
      <c r="F208">
        <f t="shared" si="19"/>
        <v>1.1348290953375697</v>
      </c>
      <c r="G208" s="2">
        <v>133.46</v>
      </c>
      <c r="H208">
        <f t="shared" si="22"/>
        <v>3.7388262728332622E-2</v>
      </c>
      <c r="J208">
        <f t="shared" si="20"/>
        <v>1.0497052345828808</v>
      </c>
      <c r="K208" s="2">
        <v>45.116799999999998</v>
      </c>
      <c r="L208">
        <f t="shared" si="23"/>
        <v>1.9721062450031024E-3</v>
      </c>
    </row>
    <row r="209" spans="2:12" x14ac:dyDescent="0.35">
      <c r="B209">
        <f t="shared" si="18"/>
        <v>1.0007615224923589</v>
      </c>
      <c r="C209" s="2">
        <v>528.26819999999998</v>
      </c>
      <c r="D209">
        <f t="shared" si="21"/>
        <v>5.2538794236545172E-4</v>
      </c>
      <c r="F209">
        <f t="shared" si="19"/>
        <v>1.0974408326092371</v>
      </c>
      <c r="G209" s="2">
        <v>128.65</v>
      </c>
      <c r="H209">
        <f t="shared" si="22"/>
        <v>2.6408169778203261E-2</v>
      </c>
      <c r="J209">
        <f t="shared" si="20"/>
        <v>1.0477331283378777</v>
      </c>
      <c r="K209" s="2">
        <v>45.027999999999999</v>
      </c>
      <c r="L209">
        <f t="shared" si="23"/>
        <v>-1.9755962164339058E-2</v>
      </c>
    </row>
    <row r="210" spans="2:12" x14ac:dyDescent="0.35">
      <c r="B210">
        <f t="shared" si="18"/>
        <v>1.0002361345499935</v>
      </c>
      <c r="C210" s="2">
        <v>527.99080000000004</v>
      </c>
      <c r="D210">
        <f t="shared" si="21"/>
        <v>4.4097781756595733E-3</v>
      </c>
      <c r="F210">
        <f t="shared" si="19"/>
        <v>1.0710326628310338</v>
      </c>
      <c r="G210" s="2">
        <v>125.34</v>
      </c>
      <c r="H210">
        <f t="shared" si="22"/>
        <v>-8.1085043988269767E-2</v>
      </c>
      <c r="J210">
        <f t="shared" si="20"/>
        <v>1.0674890905022167</v>
      </c>
      <c r="K210" s="2">
        <v>45.935499999999998</v>
      </c>
      <c r="L210">
        <f t="shared" si="23"/>
        <v>1.7701859913817009E-2</v>
      </c>
    </row>
    <row r="211" spans="2:12" x14ac:dyDescent="0.35">
      <c r="B211">
        <f t="shared" si="18"/>
        <v>0.99582635637433403</v>
      </c>
      <c r="C211" s="2">
        <v>525.67269999999996</v>
      </c>
      <c r="D211">
        <f t="shared" si="21"/>
        <v>2.3117187548657325E-2</v>
      </c>
      <c r="F211">
        <f t="shared" si="19"/>
        <v>1.1521177068193036</v>
      </c>
      <c r="G211" s="2">
        <v>136.4</v>
      </c>
      <c r="H211">
        <f t="shared" si="22"/>
        <v>-2.6131657860916757E-2</v>
      </c>
      <c r="J211">
        <f t="shared" si="20"/>
        <v>1.0497872305883997</v>
      </c>
      <c r="K211" s="2">
        <v>45.136499999999998</v>
      </c>
      <c r="L211">
        <f t="shared" si="23"/>
        <v>3.2956948398495056E-2</v>
      </c>
    </row>
    <row r="212" spans="2:12" x14ac:dyDescent="0.35">
      <c r="B212">
        <f t="shared" si="18"/>
        <v>0.97270916882567671</v>
      </c>
      <c r="C212" s="2">
        <v>513.79520000000002</v>
      </c>
      <c r="D212">
        <f t="shared" si="21"/>
        <v>-6.6839696279863414E-3</v>
      </c>
      <c r="F212">
        <f t="shared" si="19"/>
        <v>1.1782493646802203</v>
      </c>
      <c r="G212" s="2">
        <v>140.06</v>
      </c>
      <c r="H212">
        <f t="shared" si="22"/>
        <v>-1.9530976548827406E-2</v>
      </c>
      <c r="J212">
        <f t="shared" si="20"/>
        <v>1.0168302821899047</v>
      </c>
      <c r="K212" s="2">
        <v>43.696399999999997</v>
      </c>
      <c r="L212">
        <f t="shared" si="23"/>
        <v>-2.2651196738232571E-4</v>
      </c>
    </row>
    <row r="213" spans="2:12" x14ac:dyDescent="0.35">
      <c r="B213">
        <f t="shared" si="18"/>
        <v>0.97939313845366305</v>
      </c>
      <c r="C213" s="2">
        <v>517.25250000000005</v>
      </c>
      <c r="D213">
        <f t="shared" si="21"/>
        <v>9.219608247133193E-3</v>
      </c>
      <c r="F213">
        <f t="shared" si="19"/>
        <v>1.1977803412290478</v>
      </c>
      <c r="G213" s="2">
        <v>142.85</v>
      </c>
      <c r="H213">
        <f t="shared" si="22"/>
        <v>1.5641663704230258E-2</v>
      </c>
      <c r="J213">
        <f t="shared" si="20"/>
        <v>1.017056794157287</v>
      </c>
      <c r="K213" s="2">
        <v>43.706299999999999</v>
      </c>
      <c r="L213">
        <f t="shared" si="23"/>
        <v>1.2338558748864914E-2</v>
      </c>
    </row>
    <row r="214" spans="2:12" x14ac:dyDescent="0.35">
      <c r="B214">
        <f t="shared" si="18"/>
        <v>0.97017353020652985</v>
      </c>
      <c r="C214" s="2">
        <v>512.52719999999999</v>
      </c>
      <c r="D214">
        <f t="shared" si="21"/>
        <v>-2.9123609399933748E-2</v>
      </c>
      <c r="F214">
        <f t="shared" si="19"/>
        <v>1.1821386775248175</v>
      </c>
      <c r="G214" s="2">
        <v>140.65</v>
      </c>
      <c r="H214">
        <f t="shared" si="22"/>
        <v>-2.2856745866333128E-2</v>
      </c>
      <c r="J214">
        <f t="shared" si="20"/>
        <v>1.0047182354084221</v>
      </c>
      <c r="K214" s="2">
        <v>43.1736</v>
      </c>
      <c r="L214">
        <f t="shared" si="23"/>
        <v>-2.1681199354639857E-2</v>
      </c>
    </row>
    <row r="215" spans="2:12" x14ac:dyDescent="0.35">
      <c r="B215">
        <f t="shared" si="18"/>
        <v>0.9992971396064636</v>
      </c>
      <c r="C215" s="2">
        <v>527.90160000000003</v>
      </c>
      <c r="D215">
        <f t="shared" si="21"/>
        <v>-1.8618492673959874E-2</v>
      </c>
      <c r="F215">
        <f t="shared" si="19"/>
        <v>1.2049954233911506</v>
      </c>
      <c r="G215" s="2">
        <v>143.94</v>
      </c>
      <c r="H215">
        <f t="shared" si="22"/>
        <v>-4.8607735573913402E-4</v>
      </c>
      <c r="J215">
        <f t="shared" si="20"/>
        <v>1.0263994347630621</v>
      </c>
      <c r="K215" s="2">
        <v>44.130400000000002</v>
      </c>
      <c r="L215">
        <f t="shared" si="23"/>
        <v>-7.35174944680278E-2</v>
      </c>
    </row>
    <row r="216" spans="2:12" x14ac:dyDescent="0.35">
      <c r="B216">
        <f t="shared" si="18"/>
        <v>1.0179156322804235</v>
      </c>
      <c r="C216" s="2">
        <v>537.91679999999997</v>
      </c>
      <c r="D216">
        <f t="shared" si="21"/>
        <v>-1.416089183489011E-2</v>
      </c>
      <c r="F216">
        <f t="shared" si="19"/>
        <v>1.2054815007468898</v>
      </c>
      <c r="G216" s="2">
        <v>144.01</v>
      </c>
      <c r="H216">
        <f t="shared" si="22"/>
        <v>1.2443757030371039E-2</v>
      </c>
      <c r="J216">
        <f t="shared" si="20"/>
        <v>1.0999169292310897</v>
      </c>
      <c r="K216" s="2">
        <v>47.632199999999997</v>
      </c>
      <c r="L216">
        <f t="shared" si="23"/>
        <v>-4.3906414342949396E-2</v>
      </c>
    </row>
    <row r="217" spans="2:12" x14ac:dyDescent="0.35">
      <c r="B217">
        <f t="shared" si="18"/>
        <v>1.0320765241153136</v>
      </c>
      <c r="C217" s="2">
        <v>545.64359999999999</v>
      </c>
      <c r="D217">
        <f t="shared" si="21"/>
        <v>1.6254488828147062E-2</v>
      </c>
      <c r="F217">
        <f t="shared" si="19"/>
        <v>1.1930377437165187</v>
      </c>
      <c r="G217" s="2">
        <v>142.24</v>
      </c>
      <c r="H217">
        <f t="shared" si="22"/>
        <v>-5.5928411633108244E-3</v>
      </c>
      <c r="J217">
        <f t="shared" si="20"/>
        <v>1.1438233435740393</v>
      </c>
      <c r="K217" s="2">
        <v>49.819600000000001</v>
      </c>
      <c r="L217">
        <f t="shared" si="23"/>
        <v>-3.9227604077111122E-3</v>
      </c>
    </row>
    <row r="218" spans="2:12" x14ac:dyDescent="0.35">
      <c r="B218">
        <f t="shared" si="18"/>
        <v>1.0158220352871665</v>
      </c>
      <c r="C218" s="2">
        <v>536.91629999999998</v>
      </c>
      <c r="D218">
        <f t="shared" si="21"/>
        <v>-5.0664281912883302E-3</v>
      </c>
      <c r="F218">
        <f t="shared" si="19"/>
        <v>1.1986305848798295</v>
      </c>
      <c r="G218" s="2">
        <v>143.04</v>
      </c>
      <c r="H218">
        <f t="shared" si="22"/>
        <v>-2.0475244812709792E-2</v>
      </c>
      <c r="J218">
        <f t="shared" si="20"/>
        <v>1.1477461039817505</v>
      </c>
      <c r="K218" s="2">
        <v>50.015799999999999</v>
      </c>
      <c r="L218">
        <f t="shared" si="23"/>
        <v>9.5024724997476717E-3</v>
      </c>
    </row>
    <row r="219" spans="2:12" x14ac:dyDescent="0.35">
      <c r="B219">
        <f t="shared" si="18"/>
        <v>1.0208884634784547</v>
      </c>
      <c r="C219" s="2">
        <v>539.65039999999999</v>
      </c>
      <c r="D219">
        <f t="shared" si="21"/>
        <v>5.8776259730985991E-4</v>
      </c>
      <c r="F219">
        <f t="shared" si="19"/>
        <v>1.2191058296925392</v>
      </c>
      <c r="G219" s="2">
        <v>146.03</v>
      </c>
      <c r="H219">
        <f t="shared" si="22"/>
        <v>1.2409872434830715E-2</v>
      </c>
      <c r="J219">
        <f t="shared" si="20"/>
        <v>1.1382436314820028</v>
      </c>
      <c r="K219" s="2">
        <v>49.545000000000002</v>
      </c>
      <c r="L219">
        <f t="shared" si="23"/>
        <v>-5.3162229119571025E-3</v>
      </c>
    </row>
    <row r="220" spans="2:12" x14ac:dyDescent="0.35">
      <c r="B220">
        <f t="shared" si="18"/>
        <v>1.0203007008811449</v>
      </c>
      <c r="C220" s="2">
        <v>539.33339999999998</v>
      </c>
      <c r="D220">
        <f t="shared" si="21"/>
        <v>1.1199754612223334E-2</v>
      </c>
      <c r="F220">
        <f t="shared" si="19"/>
        <v>1.2066959572577085</v>
      </c>
      <c r="G220" s="2">
        <v>144.24</v>
      </c>
      <c r="H220">
        <f t="shared" si="22"/>
        <v>-2.249932230956897E-2</v>
      </c>
      <c r="J220">
        <f t="shared" si="20"/>
        <v>1.1435598543939598</v>
      </c>
      <c r="K220" s="2">
        <v>49.809800000000003</v>
      </c>
      <c r="L220">
        <f t="shared" si="23"/>
        <v>7.9405229736895233E-3</v>
      </c>
    </row>
    <row r="221" spans="2:12" x14ac:dyDescent="0.35">
      <c r="B221">
        <f t="shared" si="18"/>
        <v>1.0091009462689216</v>
      </c>
      <c r="C221" s="2">
        <v>533.35990000000004</v>
      </c>
      <c r="D221">
        <f t="shared" si="21"/>
        <v>-5.2104481272620129E-3</v>
      </c>
      <c r="F221">
        <f t="shared" si="19"/>
        <v>1.2291952795672776</v>
      </c>
      <c r="G221" s="2">
        <v>147.56</v>
      </c>
      <c r="H221">
        <f t="shared" si="22"/>
        <v>1.0684931506849349E-2</v>
      </c>
      <c r="J221">
        <f t="shared" si="20"/>
        <v>1.1356193314202703</v>
      </c>
      <c r="K221" s="2">
        <v>49.417400000000001</v>
      </c>
      <c r="L221">
        <f t="shared" si="23"/>
        <v>1.0023095632268442E-2</v>
      </c>
    </row>
    <row r="222" spans="2:12" x14ac:dyDescent="0.35">
      <c r="B222">
        <f t="shared" si="18"/>
        <v>1.0143113943961835</v>
      </c>
      <c r="C222" s="2">
        <v>536.15350000000001</v>
      </c>
      <c r="D222">
        <f t="shared" si="21"/>
        <v>-2.2662453165940399E-2</v>
      </c>
      <c r="F222">
        <f t="shared" si="19"/>
        <v>1.2185103480604282</v>
      </c>
      <c r="G222" s="2">
        <v>146</v>
      </c>
      <c r="H222">
        <f t="shared" si="22"/>
        <v>-1.1108100785694797E-2</v>
      </c>
      <c r="J222">
        <f t="shared" si="20"/>
        <v>1.1255962357880018</v>
      </c>
      <c r="K222" s="2">
        <v>48.927</v>
      </c>
      <c r="L222">
        <f t="shared" si="23"/>
        <v>-1.83028620042055E-2</v>
      </c>
    </row>
    <row r="223" spans="2:12" x14ac:dyDescent="0.35">
      <c r="B223">
        <f t="shared" si="18"/>
        <v>1.036973847562124</v>
      </c>
      <c r="C223" s="2">
        <v>548.58579999999995</v>
      </c>
      <c r="D223">
        <f t="shared" si="21"/>
        <v>-1.5684844196244274E-3</v>
      </c>
      <c r="F223">
        <f t="shared" si="19"/>
        <v>1.229618448846123</v>
      </c>
      <c r="G223" s="2">
        <v>147.63999999999999</v>
      </c>
      <c r="H223">
        <f t="shared" si="22"/>
        <v>8.8144858216603339E-3</v>
      </c>
      <c r="J223">
        <f t="shared" si="20"/>
        <v>1.1438990977922072</v>
      </c>
      <c r="K223" s="2">
        <v>49.839199999999998</v>
      </c>
      <c r="L223">
        <f t="shared" si="23"/>
        <v>5.7391009549023764E-3</v>
      </c>
    </row>
    <row r="224" spans="2:12" x14ac:dyDescent="0.35">
      <c r="B224">
        <f t="shared" si="18"/>
        <v>1.0385423319817484</v>
      </c>
      <c r="C224" s="2">
        <v>549.44759999999997</v>
      </c>
      <c r="D224">
        <f t="shared" si="21"/>
        <v>1.0309820504423417E-2</v>
      </c>
      <c r="F224">
        <f t="shared" si="19"/>
        <v>1.2208039630244627</v>
      </c>
      <c r="G224" s="2">
        <v>146.35</v>
      </c>
      <c r="H224">
        <f t="shared" si="22"/>
        <v>5.0820685392485299E-3</v>
      </c>
      <c r="J224">
        <f t="shared" si="20"/>
        <v>1.1381599968373048</v>
      </c>
      <c r="K224" s="2">
        <v>49.5548</v>
      </c>
      <c r="L224">
        <f t="shared" si="23"/>
        <v>1.1006767274708062E-2</v>
      </c>
    </row>
    <row r="225" spans="2:12" x14ac:dyDescent="0.35">
      <c r="B225">
        <f t="shared" si="18"/>
        <v>1.028232511477325</v>
      </c>
      <c r="C225" s="2">
        <v>543.84069999999997</v>
      </c>
      <c r="D225">
        <f t="shared" si="21"/>
        <v>-6.6406527551969852E-3</v>
      </c>
      <c r="F225">
        <f t="shared" si="19"/>
        <v>1.2157218944852142</v>
      </c>
      <c r="G225" s="2">
        <v>145.61000000000001</v>
      </c>
      <c r="H225">
        <f t="shared" si="22"/>
        <v>1.2727778550563507E-2</v>
      </c>
      <c r="J225">
        <f t="shared" si="20"/>
        <v>1.1271532295625968</v>
      </c>
      <c r="K225" s="2">
        <v>49.015300000000003</v>
      </c>
      <c r="L225">
        <f t="shared" si="23"/>
        <v>-1.6917775798855894E-2</v>
      </c>
    </row>
    <row r="226" spans="2:12" x14ac:dyDescent="0.35">
      <c r="B226">
        <f t="shared" si="18"/>
        <v>1.034873164232522</v>
      </c>
      <c r="C226" s="2">
        <v>547.47630000000004</v>
      </c>
      <c r="D226">
        <f t="shared" si="21"/>
        <v>-7.6847494571935515E-3</v>
      </c>
      <c r="F226">
        <f t="shared" si="19"/>
        <v>1.2029941159346507</v>
      </c>
      <c r="G226" s="2">
        <v>143.78</v>
      </c>
      <c r="H226">
        <f t="shared" si="22"/>
        <v>-2.12389380530974E-2</v>
      </c>
      <c r="J226">
        <f t="shared" si="20"/>
        <v>1.1440710053614527</v>
      </c>
      <c r="K226" s="2">
        <v>49.858800000000002</v>
      </c>
      <c r="L226">
        <f t="shared" si="23"/>
        <v>-2.6619265437124007E-2</v>
      </c>
    </row>
    <row r="227" spans="2:12" x14ac:dyDescent="0.35">
      <c r="B227">
        <f t="shared" si="18"/>
        <v>1.0425579136897156</v>
      </c>
      <c r="C227" s="2">
        <v>551.71609999999998</v>
      </c>
      <c r="D227">
        <f t="shared" si="21"/>
        <v>-1.4021326326899786E-2</v>
      </c>
      <c r="F227">
        <f t="shared" si="19"/>
        <v>1.224233053987748</v>
      </c>
      <c r="G227" s="2">
        <v>146.9</v>
      </c>
      <c r="H227">
        <f t="shared" si="22"/>
        <v>-1.3961605584642101E-2</v>
      </c>
      <c r="J227">
        <f t="shared" si="20"/>
        <v>1.1706902707985767</v>
      </c>
      <c r="K227" s="2">
        <v>51.222299999999997</v>
      </c>
      <c r="L227">
        <f t="shared" si="23"/>
        <v>9.8635700484994704E-3</v>
      </c>
    </row>
    <row r="228" spans="2:12" x14ac:dyDescent="0.35">
      <c r="B228">
        <f t="shared" si="18"/>
        <v>1.0565792400166154</v>
      </c>
      <c r="C228" s="2">
        <v>559.56190000000004</v>
      </c>
      <c r="D228">
        <f t="shared" si="21"/>
        <v>5.9302873046944704E-3</v>
      </c>
      <c r="F228">
        <f t="shared" si="19"/>
        <v>1.2381946595723901</v>
      </c>
      <c r="G228" s="2">
        <v>148.97999999999999</v>
      </c>
      <c r="H228">
        <f t="shared" si="22"/>
        <v>-2.4169777952446458E-2</v>
      </c>
      <c r="J228">
        <f t="shared" si="20"/>
        <v>1.1608267007500772</v>
      </c>
      <c r="K228" s="2">
        <v>50.722000000000001</v>
      </c>
      <c r="L228">
        <f t="shared" si="23"/>
        <v>1.9517195634258577E-2</v>
      </c>
    </row>
    <row r="229" spans="2:12" x14ac:dyDescent="0.35">
      <c r="B229">
        <f t="shared" si="18"/>
        <v>1.0506489527119209</v>
      </c>
      <c r="C229" s="2">
        <v>556.26310000000001</v>
      </c>
      <c r="D229">
        <f t="shared" si="21"/>
        <v>2.7501295657856861E-3</v>
      </c>
      <c r="F229">
        <f t="shared" si="19"/>
        <v>1.2623644375248364</v>
      </c>
      <c r="G229" s="2">
        <v>152.66999999999999</v>
      </c>
      <c r="H229">
        <f t="shared" si="22"/>
        <v>3.6815462494246276E-3</v>
      </c>
      <c r="J229">
        <f t="shared" si="20"/>
        <v>1.1413095051158186</v>
      </c>
      <c r="K229" s="2">
        <v>49.750999999999998</v>
      </c>
      <c r="L229">
        <f t="shared" si="23"/>
        <v>3.2784809338262777E-2</v>
      </c>
    </row>
    <row r="230" spans="2:12" x14ac:dyDescent="0.35">
      <c r="B230">
        <f t="shared" si="18"/>
        <v>1.0478988231461352</v>
      </c>
      <c r="C230" s="2">
        <v>554.73749999999995</v>
      </c>
      <c r="D230">
        <f t="shared" si="21"/>
        <v>6.3073628529524139E-3</v>
      </c>
      <c r="F230">
        <f t="shared" si="19"/>
        <v>1.2586828912754118</v>
      </c>
      <c r="G230" s="2">
        <v>152.11000000000001</v>
      </c>
      <c r="H230">
        <f t="shared" si="22"/>
        <v>0</v>
      </c>
      <c r="J230">
        <f t="shared" si="20"/>
        <v>1.1085246957775559</v>
      </c>
      <c r="K230" s="2">
        <v>48.171700000000001</v>
      </c>
      <c r="L230">
        <f t="shared" si="23"/>
        <v>1.0182304816646059E-3</v>
      </c>
    </row>
    <row r="231" spans="2:12" x14ac:dyDescent="0.35">
      <c r="B231">
        <f t="shared" si="18"/>
        <v>1.0415914602931828</v>
      </c>
      <c r="C231" s="2">
        <v>551.26049999999998</v>
      </c>
      <c r="D231">
        <f t="shared" si="21"/>
        <v>-8.6225267963553343E-3</v>
      </c>
      <c r="F231">
        <f t="shared" si="19"/>
        <v>1.2586828912754118</v>
      </c>
      <c r="G231" s="2">
        <v>152.11000000000001</v>
      </c>
      <c r="H231">
        <f t="shared" si="22"/>
        <v>1.9162479061976656E-2</v>
      </c>
      <c r="J231">
        <f t="shared" si="20"/>
        <v>1.1075064652958913</v>
      </c>
      <c r="K231" s="2">
        <v>48.122700000000002</v>
      </c>
      <c r="L231">
        <f t="shared" si="23"/>
        <v>2.0171206159690813E-2</v>
      </c>
    </row>
    <row r="232" spans="2:12" x14ac:dyDescent="0.35">
      <c r="B232">
        <f t="shared" si="18"/>
        <v>1.0502139870895382</v>
      </c>
      <c r="C232" s="2">
        <v>556.05510000000004</v>
      </c>
      <c r="D232">
        <f t="shared" si="21"/>
        <v>9.8954498547603187E-3</v>
      </c>
      <c r="F232">
        <f t="shared" si="19"/>
        <v>1.2395204122134351</v>
      </c>
      <c r="G232" s="2">
        <v>149.25</v>
      </c>
      <c r="H232">
        <f t="shared" si="22"/>
        <v>-6.6555740432612254E-3</v>
      </c>
      <c r="J232">
        <f t="shared" si="20"/>
        <v>1.0873352591362004</v>
      </c>
      <c r="K232" s="2">
        <v>47.171199999999999</v>
      </c>
      <c r="L232">
        <f t="shared" si="23"/>
        <v>-7.4298832386799907E-3</v>
      </c>
    </row>
    <row r="233" spans="2:12" x14ac:dyDescent="0.35">
      <c r="B233">
        <f t="shared" si="18"/>
        <v>1.0403185372347779</v>
      </c>
      <c r="C233" s="2">
        <v>550.60659999999996</v>
      </c>
      <c r="D233">
        <f t="shared" si="21"/>
        <v>9.724186865094353E-4</v>
      </c>
      <c r="F233">
        <f t="shared" si="19"/>
        <v>1.2461759862566963</v>
      </c>
      <c r="G233" s="2">
        <v>150.25</v>
      </c>
      <c r="H233">
        <f t="shared" si="22"/>
        <v>-8.0871430929195798E-3</v>
      </c>
      <c r="J233">
        <f t="shared" si="20"/>
        <v>1.0947651423748803</v>
      </c>
      <c r="K233" s="2">
        <v>47.524299999999997</v>
      </c>
      <c r="L233">
        <f t="shared" si="23"/>
        <v>1.6362555390169176E-2</v>
      </c>
    </row>
    <row r="234" spans="2:12" x14ac:dyDescent="0.35">
      <c r="B234">
        <f t="shared" si="18"/>
        <v>1.0393461185482684</v>
      </c>
      <c r="C234" s="2">
        <v>550.07169999999996</v>
      </c>
      <c r="D234">
        <f t="shared" si="21"/>
        <v>1.1539069852688488E-3</v>
      </c>
      <c r="F234">
        <f t="shared" si="19"/>
        <v>1.2542631293496158</v>
      </c>
      <c r="G234" s="2">
        <v>151.47499999999999</v>
      </c>
      <c r="H234">
        <f t="shared" si="22"/>
        <v>-1.6806168852566694E-3</v>
      </c>
      <c r="J234">
        <f t="shared" si="20"/>
        <v>1.0784025869847111</v>
      </c>
      <c r="K234" s="2">
        <v>46.7592</v>
      </c>
      <c r="L234">
        <f t="shared" si="23"/>
        <v>1.5983104320392183E-2</v>
      </c>
    </row>
    <row r="235" spans="2:12" x14ac:dyDescent="0.35">
      <c r="B235">
        <f t="shared" si="18"/>
        <v>1.0381922115629996</v>
      </c>
      <c r="C235" s="2">
        <v>549.43769999999995</v>
      </c>
      <c r="D235">
        <f t="shared" si="21"/>
        <v>5.7665606480103992E-3</v>
      </c>
      <c r="F235">
        <f t="shared" si="19"/>
        <v>1.2559437462348724</v>
      </c>
      <c r="G235" s="2">
        <v>151.72999999999999</v>
      </c>
      <c r="H235">
        <f t="shared" si="22"/>
        <v>-9.013127816602573E-3</v>
      </c>
      <c r="J235">
        <f t="shared" si="20"/>
        <v>1.062419482664319</v>
      </c>
      <c r="K235" s="2">
        <v>46.023600000000002</v>
      </c>
      <c r="L235">
        <f t="shared" si="23"/>
        <v>-9.2885388256617185E-3</v>
      </c>
    </row>
    <row r="236" spans="2:12" x14ac:dyDescent="0.35">
      <c r="B236">
        <f t="shared" si="18"/>
        <v>1.0324256509149892</v>
      </c>
      <c r="C236" s="2">
        <v>546.28750000000002</v>
      </c>
      <c r="D236">
        <f t="shared" si="21"/>
        <v>4.4625414053787171E-3</v>
      </c>
      <c r="F236">
        <f t="shared" si="19"/>
        <v>1.2649568740514749</v>
      </c>
      <c r="G236" s="2">
        <v>153.11000000000001</v>
      </c>
      <c r="H236">
        <f t="shared" si="22"/>
        <v>-7.0687418936444812E-3</v>
      </c>
      <c r="J236">
        <f t="shared" si="20"/>
        <v>1.0717080214899806</v>
      </c>
      <c r="K236" s="2">
        <v>46.455100000000002</v>
      </c>
      <c r="L236">
        <f t="shared" si="23"/>
        <v>-1.3949647968789392E-2</v>
      </c>
    </row>
    <row r="237" spans="2:12" x14ac:dyDescent="0.35">
      <c r="B237">
        <f t="shared" si="18"/>
        <v>1.0279631095096105</v>
      </c>
      <c r="C237" s="2">
        <v>543.8605</v>
      </c>
      <c r="D237">
        <f t="shared" si="21"/>
        <v>6.7297897597833334E-3</v>
      </c>
      <c r="F237">
        <f t="shared" si="19"/>
        <v>1.2720256159451195</v>
      </c>
      <c r="G237" s="2">
        <v>154.19999999999999</v>
      </c>
      <c r="H237">
        <f t="shared" si="22"/>
        <v>-1.6267942583732098E-2</v>
      </c>
      <c r="J237">
        <f t="shared" si="20"/>
        <v>1.0856576694587701</v>
      </c>
      <c r="K237" s="2">
        <v>47.112299999999998</v>
      </c>
      <c r="L237">
        <f t="shared" si="23"/>
        <v>-1.6634598269155143E-3</v>
      </c>
    </row>
    <row r="238" spans="2:12" x14ac:dyDescent="0.35">
      <c r="B238">
        <f t="shared" si="18"/>
        <v>1.0212333197498271</v>
      </c>
      <c r="C238" s="2">
        <v>540.22490000000005</v>
      </c>
      <c r="D238">
        <f t="shared" si="21"/>
        <v>2.0580009400585908E-3</v>
      </c>
      <c r="F238">
        <f t="shared" si="19"/>
        <v>1.2882935585288517</v>
      </c>
      <c r="G238" s="2">
        <v>156.75</v>
      </c>
      <c r="H238">
        <f t="shared" si="22"/>
        <v>-7.9113924050633333E-3</v>
      </c>
      <c r="J238">
        <f t="shared" si="20"/>
        <v>1.0873211292856857</v>
      </c>
      <c r="K238" s="2">
        <v>47.190800000000003</v>
      </c>
      <c r="L238">
        <f t="shared" si="23"/>
        <v>1.9495165095358757E-2</v>
      </c>
    </row>
    <row r="239" spans="2:12" x14ac:dyDescent="0.35">
      <c r="B239">
        <f t="shared" si="18"/>
        <v>1.0191753188097685</v>
      </c>
      <c r="C239" s="2">
        <v>539.11540000000002</v>
      </c>
      <c r="D239">
        <f t="shared" si="21"/>
        <v>-3.9351842870506415E-3</v>
      </c>
      <c r="F239">
        <f t="shared" si="19"/>
        <v>1.2962049509339151</v>
      </c>
      <c r="G239" s="2">
        <v>158</v>
      </c>
      <c r="H239">
        <f t="shared" si="22"/>
        <v>2.5322866548482814E-4</v>
      </c>
      <c r="J239">
        <f t="shared" si="20"/>
        <v>1.0678259641903269</v>
      </c>
      <c r="K239" s="2">
        <v>46.288400000000003</v>
      </c>
      <c r="L239">
        <f t="shared" si="23"/>
        <v>6.692420634829177E-2</v>
      </c>
    </row>
    <row r="240" spans="2:12" x14ac:dyDescent="0.35">
      <c r="B240">
        <f t="shared" si="18"/>
        <v>1.0231105030968191</v>
      </c>
      <c r="C240" s="2">
        <v>541.24530000000004</v>
      </c>
      <c r="D240">
        <f t="shared" si="21"/>
        <v>1.5766294659835811E-3</v>
      </c>
      <c r="F240">
        <f t="shared" si="19"/>
        <v>1.2959517222684303</v>
      </c>
      <c r="G240" s="2">
        <v>157.96</v>
      </c>
      <c r="H240">
        <f t="shared" si="22"/>
        <v>6.6917341150978249E-3</v>
      </c>
      <c r="J240">
        <f t="shared" si="20"/>
        <v>1.0009017578420352</v>
      </c>
      <c r="K240" s="2">
        <v>43.384900000000002</v>
      </c>
      <c r="L240">
        <f t="shared" si="23"/>
        <v>-1.4483502754273347E-2</v>
      </c>
    </row>
    <row r="241" spans="2:12" x14ac:dyDescent="0.35">
      <c r="B241">
        <f t="shared" si="18"/>
        <v>1.0215338736308355</v>
      </c>
      <c r="C241" s="2">
        <v>540.39329999999995</v>
      </c>
      <c r="D241">
        <f t="shared" si="21"/>
        <v>1.2480552405256251E-3</v>
      </c>
      <c r="F241">
        <f t="shared" si="19"/>
        <v>1.2892599881533324</v>
      </c>
      <c r="G241" s="2">
        <v>156.91</v>
      </c>
      <c r="H241">
        <f t="shared" si="22"/>
        <v>-7.2757180817411005E-3</v>
      </c>
      <c r="J241">
        <f t="shared" si="20"/>
        <v>1.0153852605963085</v>
      </c>
      <c r="K241" s="2">
        <v>44.022500000000001</v>
      </c>
      <c r="L241">
        <f t="shared" si="23"/>
        <v>-6.2012948899703435E-3</v>
      </c>
    </row>
    <row r="242" spans="2:12" x14ac:dyDescent="0.35">
      <c r="B242">
        <f t="shared" si="18"/>
        <v>1.0202858183903099</v>
      </c>
      <c r="C242" s="2">
        <v>539.71969999999999</v>
      </c>
      <c r="D242">
        <f t="shared" si="21"/>
        <v>3.850837339507196E-3</v>
      </c>
      <c r="F242">
        <f t="shared" si="19"/>
        <v>1.2965357062350735</v>
      </c>
      <c r="G242" s="2">
        <v>158.06</v>
      </c>
      <c r="H242">
        <f t="shared" si="22"/>
        <v>-3.5337198657308444E-2</v>
      </c>
      <c r="J242">
        <f t="shared" si="20"/>
        <v>1.0215865554862789</v>
      </c>
      <c r="K242" s="2">
        <v>44.297199999999997</v>
      </c>
      <c r="L242">
        <f t="shared" si="23"/>
        <v>-7.908121557973935E-3</v>
      </c>
    </row>
    <row r="243" spans="2:12" x14ac:dyDescent="0.35">
      <c r="B243">
        <f t="shared" si="18"/>
        <v>1.0164349810508027</v>
      </c>
      <c r="C243" s="2">
        <v>537.64930000000004</v>
      </c>
      <c r="D243">
        <f t="shared" si="21"/>
        <v>-3.2506325978716166E-3</v>
      </c>
      <c r="F243">
        <f t="shared" si="19"/>
        <v>1.3318729048923821</v>
      </c>
      <c r="G243" s="2">
        <v>163.85</v>
      </c>
      <c r="H243">
        <f t="shared" si="22"/>
        <v>1.9474863115978014E-2</v>
      </c>
      <c r="J243">
        <f t="shared" si="20"/>
        <v>1.0294946770442528</v>
      </c>
      <c r="K243" s="2">
        <v>44.650300000000001</v>
      </c>
      <c r="L243">
        <f t="shared" si="23"/>
        <v>2.3610512512494353E-2</v>
      </c>
    </row>
    <row r="244" spans="2:12" x14ac:dyDescent="0.35">
      <c r="B244">
        <f t="shared" si="18"/>
        <v>1.0196856136486743</v>
      </c>
      <c r="C244" s="2">
        <v>539.40269999999998</v>
      </c>
      <c r="D244">
        <f t="shared" si="21"/>
        <v>-1.3406111305716006E-3</v>
      </c>
      <c r="F244">
        <f t="shared" si="19"/>
        <v>1.3123980417764041</v>
      </c>
      <c r="G244" s="2">
        <v>160.72</v>
      </c>
      <c r="H244">
        <f t="shared" si="22"/>
        <v>0.30137651821862343</v>
      </c>
      <c r="J244">
        <f t="shared" si="20"/>
        <v>1.0058841645317584</v>
      </c>
      <c r="K244" s="2">
        <v>43.620399999999997</v>
      </c>
      <c r="L244">
        <f t="shared" si="23"/>
        <v>-1.0237885622487064E-2</v>
      </c>
    </row>
    <row r="245" spans="2:12" x14ac:dyDescent="0.35">
      <c r="B245">
        <f t="shared" si="18"/>
        <v>1.0210262247792459</v>
      </c>
      <c r="C245" s="2">
        <v>540.1268</v>
      </c>
      <c r="D245">
        <f t="shared" si="21"/>
        <v>-2.7165900323505854E-3</v>
      </c>
      <c r="F245">
        <f t="shared" si="19"/>
        <v>1.0110215235577806</v>
      </c>
      <c r="G245" s="2">
        <v>123.5</v>
      </c>
      <c r="H245">
        <f t="shared" si="22"/>
        <v>5.0884955752212413E-2</v>
      </c>
      <c r="J245">
        <f t="shared" si="20"/>
        <v>1.0161220501542454</v>
      </c>
      <c r="K245" s="2">
        <v>44.071599999999997</v>
      </c>
      <c r="L245">
        <f t="shared" si="23"/>
        <v>2.9796898804572258E-2</v>
      </c>
    </row>
    <row r="246" spans="2:12" x14ac:dyDescent="0.35">
      <c r="B246">
        <f t="shared" si="18"/>
        <v>1.0237428148115963</v>
      </c>
      <c r="C246" s="2">
        <v>541.59810000000004</v>
      </c>
      <c r="D246">
        <f t="shared" si="21"/>
        <v>2.5406052582477301E-3</v>
      </c>
      <c r="F246">
        <f t="shared" si="19"/>
        <v>0.96013656780556811</v>
      </c>
      <c r="G246" s="2">
        <v>117.52</v>
      </c>
      <c r="H246">
        <f t="shared" si="22"/>
        <v>5.9060172900795571E-3</v>
      </c>
      <c r="J246">
        <f t="shared" si="20"/>
        <v>0.98632515134967302</v>
      </c>
      <c r="K246" s="2">
        <v>42.796399999999998</v>
      </c>
      <c r="L246">
        <f t="shared" si="23"/>
        <v>1.2532324501321357E-2</v>
      </c>
    </row>
    <row r="247" spans="2:12" x14ac:dyDescent="0.35">
      <c r="B247">
        <f t="shared" si="18"/>
        <v>1.0212022095533486</v>
      </c>
      <c r="C247" s="2">
        <v>540.22559999999999</v>
      </c>
      <c r="D247">
        <f t="shared" si="21"/>
        <v>7.9589909618238419E-3</v>
      </c>
      <c r="F247">
        <f t="shared" si="19"/>
        <v>0.95423055051548855</v>
      </c>
      <c r="G247" s="2">
        <v>116.83</v>
      </c>
      <c r="H247">
        <f t="shared" si="22"/>
        <v>-4.8925431455551949E-2</v>
      </c>
      <c r="J247">
        <f t="shared" si="20"/>
        <v>0.97379282684835167</v>
      </c>
      <c r="K247" s="2">
        <v>42.2667</v>
      </c>
      <c r="L247">
        <f t="shared" si="23"/>
        <v>3.3579908787459978E-2</v>
      </c>
    </row>
    <row r="248" spans="2:12" x14ac:dyDescent="0.35">
      <c r="B248">
        <f t="shared" si="18"/>
        <v>1.0132432185915248</v>
      </c>
      <c r="C248" s="2">
        <v>535.95989999999995</v>
      </c>
      <c r="D248">
        <f t="shared" si="21"/>
        <v>6.0843785121922345E-4</v>
      </c>
      <c r="F248">
        <f t="shared" si="19"/>
        <v>1.0031559819710405</v>
      </c>
      <c r="G248" s="2">
        <v>122.84</v>
      </c>
      <c r="H248">
        <f t="shared" si="22"/>
        <v>-1.7279999999999962E-2</v>
      </c>
      <c r="J248">
        <f t="shared" si="20"/>
        <v>0.94021291806089169</v>
      </c>
      <c r="K248" s="2">
        <v>40.893500000000003</v>
      </c>
      <c r="L248">
        <f t="shared" si="23"/>
        <v>-2.707030236990049E-2</v>
      </c>
    </row>
    <row r="249" spans="2:12" x14ac:dyDescent="0.35">
      <c r="B249">
        <f t="shared" si="18"/>
        <v>1.0126347807403056</v>
      </c>
      <c r="C249" s="2">
        <v>535.63400000000001</v>
      </c>
      <c r="D249">
        <f t="shared" si="21"/>
        <v>2.0134402703395615E-3</v>
      </c>
      <c r="F249">
        <f t="shared" si="19"/>
        <v>1.0204359819710405</v>
      </c>
      <c r="G249" s="2">
        <v>125</v>
      </c>
      <c r="H249">
        <f t="shared" si="22"/>
        <v>4.1840306717786158E-2</v>
      </c>
      <c r="J249">
        <f t="shared" si="20"/>
        <v>0.96728322043079218</v>
      </c>
      <c r="K249" s="2">
        <v>42.031300000000002</v>
      </c>
      <c r="L249">
        <f t="shared" si="23"/>
        <v>-1.8327260837070258E-2</v>
      </c>
    </row>
    <row r="250" spans="2:12" x14ac:dyDescent="0.35">
      <c r="B250">
        <f>B251*1+D250</f>
        <v>1.010621340469966</v>
      </c>
      <c r="C250" s="2">
        <v>534.55769999999995</v>
      </c>
      <c r="D250">
        <f t="shared" si="21"/>
        <v>8.2130791011971738E-3</v>
      </c>
      <c r="F250">
        <f t="shared" si="19"/>
        <v>0.97859567525325419</v>
      </c>
      <c r="G250" s="2">
        <v>119.98</v>
      </c>
      <c r="H250">
        <f t="shared" si="22"/>
        <v>-1.1534025374855705E-2</v>
      </c>
      <c r="J250">
        <f t="shared" si="20"/>
        <v>0.98561048126786244</v>
      </c>
      <c r="K250" s="2">
        <v>42.816000000000003</v>
      </c>
      <c r="L250">
        <f t="shared" si="23"/>
        <v>2.7782978784692824E-2</v>
      </c>
    </row>
    <row r="251" spans="2:12" x14ac:dyDescent="0.35">
      <c r="B251">
        <f>B252*1+D251</f>
        <v>1.0024082613687688</v>
      </c>
      <c r="C251" s="2">
        <v>530.20309999999995</v>
      </c>
      <c r="D251">
        <f t="shared" si="21"/>
        <v>2.4082613687688159E-3</v>
      </c>
      <c r="F251">
        <f t="shared" si="19"/>
        <v>0.9901297006281099</v>
      </c>
      <c r="G251" s="2">
        <v>121.38</v>
      </c>
      <c r="H251">
        <f t="shared" si="22"/>
        <v>-9.8702993718901011E-3</v>
      </c>
      <c r="J251">
        <f t="shared" si="20"/>
        <v>0.95782750248316961</v>
      </c>
      <c r="K251" s="2">
        <v>41.6586</v>
      </c>
      <c r="L251">
        <f t="shared" si="23"/>
        <v>-4.2172497516830387E-2</v>
      </c>
    </row>
    <row r="252" spans="2:12" x14ac:dyDescent="0.35">
      <c r="B252">
        <v>1</v>
      </c>
      <c r="C252" s="2">
        <v>528.92930000000001</v>
      </c>
      <c r="F252">
        <v>1</v>
      </c>
      <c r="G252" s="2">
        <v>122.59</v>
      </c>
      <c r="J252">
        <v>1</v>
      </c>
      <c r="K252" s="2">
        <v>43.492800000000003</v>
      </c>
    </row>
  </sheetData>
  <hyperlinks>
    <hyperlink ref="A1" location="main!A1" display="main" xr:uid="{DC4BFB84-6F72-44BB-B338-76A798E3FB9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expected returns</vt:lpstr>
      <vt:lpstr>adv port mg</vt:lpstr>
      <vt:lpstr>beta estimator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2025-06-25T20:56:42Z</dcterms:modified>
</cp:coreProperties>
</file>